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vmlDrawing1.vml" ContentType="application/vnd.openxmlformats-officedocument.vmlDrawing"/>
  <Override PartName="/xl/drawings/vmlDrawing2.vml" ContentType="application/vnd.openxmlformats-officedocument.vmlDrawing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omments2.xml" ContentType="application/vnd.openxmlformats-officedocument.spreadsheetml.comment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AINEL" sheetId="1" state="visible" r:id="rId3"/>
    <sheet name="PLANO DE CORTE" sheetId="2" state="visible" r:id="rId4"/>
    <sheet name="MALHAS" sheetId="3" state="visible" r:id="rId5"/>
    <sheet name="MODELAGENS" sheetId="4" state="visible" r:id="rId6"/>
    <sheet name="COMO USAR" sheetId="5" state="visible" r:id="rId7"/>
  </sheets>
  <definedNames>
    <definedName function="false" hidden="false" localSheetId="2" name="_xlnm.Print_Area" vbProcedure="false">MALHAS!$A$1:$M$9</definedName>
    <definedName function="false" hidden="false" localSheetId="3" name="_xlnm.Print_Area" vbProcedure="false">MODELAGENS!$A$1:$G$8</definedName>
    <definedName function="false" hidden="false" localSheetId="0" name="_xlnm.Print_Area" vbProcedure="false">PAINEL!$A$1:$L$52</definedName>
    <definedName function="false" hidden="false" localSheetId="1" name="_xlnm.Print_Area" vbProcedure="false">'PLANO DE CORTE'!$A$1:$N$23</definedName>
    <definedName function="false" hidden="false" localSheetId="1" name="_xlnm.Print_Titles" vbProcedure="false">'PLANO DE CORTE'!$6:$6</definedName>
    <definedName function="false" hidden="true" localSheetId="1" name="_xlnm._FilterDatabase" vbProcedure="false">'PLANO DE CORTE'!$A$6:$N$22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G6" authorId="0">
      <text>
        <r>
          <rPr>
            <sz val="10"/>
            <rFont val="Arial"/>
            <family val="2"/>
          </rPr>
          <t xml:space="preserve">Única coluna que o corte precisa atualizar no dia a dia. O status muda sozinho conforme você digita.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L4" authorId="0">
      <text>
        <r>
          <rPr>
            <sz val="10"/>
            <rFont val="Arial"/>
            <family val="2"/>
          </rPr>
          <t xml:space="preserve">Rendimento real dividido pelo previsto. Positivo = a malha rendeu mais peças por quilo do que o esperado.</t>
        </r>
      </text>
    </comment>
  </commentList>
</comments>
</file>

<file path=xl/sharedStrings.xml><?xml version="1.0" encoding="utf-8"?>
<sst xmlns="http://schemas.openxmlformats.org/spreadsheetml/2006/main" count="216" uniqueCount="141">
  <si>
    <t xml:space="preserve">AXOZEE  ·  PAINEL DE CORTE</t>
  </si>
  <si>
    <t xml:space="preserve">Tudo nesta aba é calculado. Para mudar números, use o PLANO DE CORTE e MALHAS.</t>
  </si>
  <si>
    <t xml:space="preserve">PEÇAS PLANEJADAS</t>
  </si>
  <si>
    <t xml:space="preserve">PEÇAS CORTADAS</t>
  </si>
  <si>
    <t xml:space="preserve">FALTA CORTAR</t>
  </si>
  <si>
    <t xml:space="preserve">CONCLUSÃO</t>
  </si>
  <si>
    <t xml:space="preserve">KG PREVISTOS NO PLANO</t>
  </si>
  <si>
    <t xml:space="preserve">KG REAIS CONSUMIDOS</t>
  </si>
  <si>
    <t xml:space="preserve">RENDIMENTO REAL (pç/kg)</t>
  </si>
  <si>
    <t xml:space="preserve">GOLAS A CORTAR</t>
  </si>
  <si>
    <t xml:space="preserve">POR MALHA</t>
  </si>
  <si>
    <t xml:space="preserve">POR MODELAGEM</t>
  </si>
  <si>
    <t xml:space="preserve">Malha</t>
  </si>
  <si>
    <t xml:space="preserve">Planejado</t>
  </si>
  <si>
    <t xml:space="preserve">Cortado</t>
  </si>
  <si>
    <t xml:space="preserve">Falta</t>
  </si>
  <si>
    <t xml:space="preserve">% cortado</t>
  </si>
  <si>
    <t xml:space="preserve">Kg previstos</t>
  </si>
  <si>
    <t xml:space="preserve">Modelagem</t>
  </si>
  <si>
    <t xml:space="preserve">Golas</t>
  </si>
  <si>
    <t xml:space="preserve">POR TAMANHO</t>
  </si>
  <si>
    <t xml:space="preserve">RENDIMENTO DA MALHA</t>
  </si>
  <si>
    <t xml:space="preserve">Tamanho</t>
  </si>
  <si>
    <t xml:space="preserve">Status</t>
  </si>
  <si>
    <t xml:space="preserve">Previsto</t>
  </si>
  <si>
    <t xml:space="preserve">Real</t>
  </si>
  <si>
    <t xml:space="preserve">Desvio</t>
  </si>
  <si>
    <t xml:space="preserve">Saldo kg</t>
  </si>
  <si>
    <t xml:space="preserve">P</t>
  </si>
  <si>
    <t xml:space="preserve">M</t>
  </si>
  <si>
    <t xml:space="preserve">G</t>
  </si>
  <si>
    <t xml:space="preserve">Rendimento real só aparece depois que você lançar os quilos realmente consumidos na aba MALHAS.</t>
  </si>
  <si>
    <t xml:space="preserve">GG</t>
  </si>
  <si>
    <t xml:space="preserve">tabela auxiliar do gráfico — não apagar</t>
  </si>
  <si>
    <t xml:space="preserve">Grades</t>
  </si>
  <si>
    <t xml:space="preserve">CORTADO</t>
  </si>
  <si>
    <t xml:space="preserve">EM CORTE</t>
  </si>
  <si>
    <t xml:space="preserve">PENDENTE</t>
  </si>
  <si>
    <t xml:space="preserve">EXCEDENTE</t>
  </si>
  <si>
    <t xml:space="preserve">PLANO DE CORTE  ·  CÁPSULA 01</t>
  </si>
  <si>
    <t xml:space="preserve">Preencha apenas as colunas amarelas. Status, saldo, gola e consumo de malha se atualizam sozinhos.</t>
  </si>
  <si>
    <t xml:space="preserve">ATUALIZADO EM</t>
  </si>
  <si>
    <t xml:space="preserve">PLANEJADO</t>
  </si>
  <si>
    <t xml:space="preserve">FALTA</t>
  </si>
  <si>
    <t xml:space="preserve">GOLAS</t>
  </si>
  <si>
    <t xml:space="preserve">Item</t>
  </si>
  <si>
    <t xml:space="preserve">Gola no corte</t>
  </si>
  <si>
    <t xml:space="preserve">Qtd planejada</t>
  </si>
  <si>
    <t xml:space="preserve">Qtd cortada</t>
  </si>
  <si>
    <t xml:space="preserve">Data do corte</t>
  </si>
  <si>
    <t xml:space="preserve">Responsável</t>
  </si>
  <si>
    <t xml:space="preserve">Observações</t>
  </si>
  <si>
    <t xml:space="preserve">CP-01</t>
  </si>
  <si>
    <t xml:space="preserve">M1</t>
  </si>
  <si>
    <t xml:space="preserve">Axozee Slim</t>
  </si>
  <si>
    <t xml:space="preserve">CP-02</t>
  </si>
  <si>
    <t xml:space="preserve">CP-03</t>
  </si>
  <si>
    <t xml:space="preserve">CP-04</t>
  </si>
  <si>
    <t xml:space="preserve">CP-05</t>
  </si>
  <si>
    <t xml:space="preserve">Axozee Over</t>
  </si>
  <si>
    <t xml:space="preserve">CP-06</t>
  </si>
  <si>
    <t xml:space="preserve">CP-07</t>
  </si>
  <si>
    <t xml:space="preserve">CP-08</t>
  </si>
  <si>
    <t xml:space="preserve">CP-09</t>
  </si>
  <si>
    <t xml:space="preserve">M2</t>
  </si>
  <si>
    <t xml:space="preserve">CP-10</t>
  </si>
  <si>
    <t xml:space="preserve">CP-11</t>
  </si>
  <si>
    <t xml:space="preserve">CP-12</t>
  </si>
  <si>
    <t xml:space="preserve">CP-13</t>
  </si>
  <si>
    <t xml:space="preserve">CP-14</t>
  </si>
  <si>
    <t xml:space="preserve">CP-15</t>
  </si>
  <si>
    <t xml:space="preserve">CP-16</t>
  </si>
  <si>
    <t xml:space="preserve">TOTAL</t>
  </si>
  <si>
    <t xml:space="preserve">MALHAS  ·  ESTOQUE E RENDIMENTO</t>
  </si>
  <si>
    <t xml:space="preserve">Linhas em amarelo são preenchidas por você. O resto é calculado.</t>
  </si>
  <si>
    <t xml:space="preserve">Código</t>
  </si>
  <si>
    <t xml:space="preserve">Cor</t>
  </si>
  <si>
    <t xml:space="preserve">Kg disponível</t>
  </si>
  <si>
    <t xml:space="preserve">Rendimento previsto (pç/kg)</t>
  </si>
  <si>
    <t xml:space="preserve">Capacidade prevista (pç)</t>
  </si>
  <si>
    <t xml:space="preserve">Peças planejadas</t>
  </si>
  <si>
    <t xml:space="preserve">Kg previsto p/ o plano</t>
  </si>
  <si>
    <t xml:space="preserve">Peças cortadas</t>
  </si>
  <si>
    <t xml:space="preserve">Kg real consumido</t>
  </si>
  <si>
    <t xml:space="preserve">Rendimento real (pç/kg)</t>
  </si>
  <si>
    <t xml:space="preserve">Desvio vs previsto</t>
  </si>
  <si>
    <t xml:space="preserve">Saldo de malha (kg)</t>
  </si>
  <si>
    <t xml:space="preserve">Algodão Pima</t>
  </si>
  <si>
    <t xml:space="preserve">Preta</t>
  </si>
  <si>
    <t xml:space="preserve">Peruana</t>
  </si>
  <si>
    <t xml:space="preserve">Off White</t>
  </si>
  <si>
    <t xml:space="preserve">Preencha 'Kg real consumido' depois do corte — é ele que revela o rendimento real e o desvio contra o previsto. Kg disponível e rendimento previsto vieram de você (12 kg a 5 pç/kg; 18 kg a 4,5 pç/kg).</t>
  </si>
  <si>
    <t xml:space="preserve">MODELAGENS  ·  REGRAS DE CORTE</t>
  </si>
  <si>
    <t xml:space="preserve">Estas regras alimentam automaticamente a coluna 'Gola' do plano de corte.</t>
  </si>
  <si>
    <t xml:space="preserve">Corta gola?</t>
  </si>
  <si>
    <t xml:space="preserve">Tipo de gola</t>
  </si>
  <si>
    <t xml:space="preserve">Instrução para o corte</t>
  </si>
  <si>
    <t xml:space="preserve">Golas a cortar</t>
  </si>
  <si>
    <t xml:space="preserve">SIM</t>
  </si>
  <si>
    <t xml:space="preserve">Gola da própria malha</t>
  </si>
  <si>
    <t xml:space="preserve">Cortar a gola na própria malha. O risco da gola já está na modelagem — usar o molde como está.</t>
  </si>
  <si>
    <t xml:space="preserve">NÃO</t>
  </si>
  <si>
    <t xml:space="preserve">Ribana canelada</t>
  </si>
  <si>
    <t xml:space="preserve">Não cortar gola. A ribana canelada é aplicada na costura — conferir ribana separada antes de fechar o pacote.</t>
  </si>
  <si>
    <t xml:space="preserve">Regra de ouro do pacote: toda peça Slim leva gola cortada junto; nenhuma peça Over leva — a ribana vai para a costura.</t>
  </si>
  <si>
    <t xml:space="preserve">COMO USAR ESTA PLANILHA</t>
  </si>
  <si>
    <t xml:space="preserve">Leia uma vez. Depois é só preencher o amarelo.</t>
  </si>
  <si>
    <t xml:space="preserve">O fluxo do dia</t>
  </si>
  <si>
    <t xml:space="preserve">1. Mande esta planilha para o corte</t>
  </si>
  <si>
    <t xml:space="preserve">O corte trabalha na aba PLANO DE CORTE. Cada linha é uma grade: malha + modelagem + tamanho.</t>
  </si>
  <si>
    <t xml:space="preserve">2. O corte preenche só três colunas</t>
  </si>
  <si>
    <t xml:space="preserve">Qtd cortada, Data do corte e Responsável. O status muda sozinho conforme a quantidade.</t>
  </si>
  <si>
    <t xml:space="preserve">3. Depois do corte, lance os quilos reais</t>
  </si>
  <si>
    <t xml:space="preserve">Na aba MALHAS, coluna 'Kg real consumido'. É o que revela o rendimento real contra os 5 e 4,5 pç/kg previstos.</t>
  </si>
  <si>
    <t xml:space="preserve">4. Acompanhe no PAINEL</t>
  </si>
  <si>
    <t xml:space="preserve">Tudo lá é automático: peças, percentuais, rendimento, gráficos.</t>
  </si>
  <si>
    <t xml:space="preserve">Cores das células</t>
  </si>
  <si>
    <t xml:space="preserve">Amarelo = você preenche</t>
  </si>
  <si>
    <t xml:space="preserve">São as únicas células que precisam de digitação.</t>
  </si>
  <si>
    <t xml:space="preserve">Branco = fórmula</t>
  </si>
  <si>
    <t xml:space="preserve">Calculado sozinho. Se sobrescrever, a automação daquela linha se perde.</t>
  </si>
  <si>
    <t xml:space="preserve">Verde-oliva = cabeçalho</t>
  </si>
  <si>
    <t xml:space="preserve">Nome das colunas.</t>
  </si>
  <si>
    <t xml:space="preserve">Os status</t>
  </si>
  <si>
    <t xml:space="preserve">Tem plano, nada cortado ainda.</t>
  </si>
  <si>
    <t xml:space="preserve">Cortou parte da grade.</t>
  </si>
  <si>
    <t xml:space="preserve">Quantidade cortada bateu com a planejada.</t>
  </si>
  <si>
    <t xml:space="preserve">Cortou mais do que o planejado — conferir sobra de malha.</t>
  </si>
  <si>
    <t xml:space="preserve">SEM PLANO</t>
  </si>
  <si>
    <t xml:space="preserve">Grade existe na tabela mas está zerada nesta rodada.</t>
  </si>
  <si>
    <t xml:space="preserve">Regras de gola (automáticas)</t>
  </si>
  <si>
    <t xml:space="preserve">Axozee Slim → corta gola</t>
  </si>
  <si>
    <t xml:space="preserve">Gola da própria malha, risco já incluso na modelagem.</t>
  </si>
  <si>
    <t xml:space="preserve">Axozee Over → não corta gola</t>
  </si>
  <si>
    <t xml:space="preserve">Ribana canelada aplicada na costura.</t>
  </si>
  <si>
    <t xml:space="preserve">Para a próxima rodada</t>
  </si>
  <si>
    <t xml:space="preserve">Reaproveitando a planilha</t>
  </si>
  <si>
    <t xml:space="preserve">Zere a coluna 'Qtd cortada', ajuste as quantidades planejadas e os quilos na aba MALHAS. A grade de 16 linhas já cobre as duas malhas × duas modelagens × quatro tamanhos.</t>
  </si>
  <si>
    <t xml:space="preserve">Incluindo uma malha nova</t>
  </si>
  <si>
    <t xml:space="preserve">Acrescente a linha na aba MALHAS com um código novo (M3) e use esse código na coluna 'Malha' do plano. Amplie as fórmulas de busca até a nova linha.</t>
  </si>
  <si>
    <t xml:space="preserve">Dados desta versão vieram de você em 13/10/2026: Algodão Pima Preta 12 kg a 5 pç/kg; Peruana Off White 18 kg a 4,5 pç/kg; grades Slim e Over conforme informado. Capacidade da Peruana é 81 peças e o plano usa 80 — sobra 1 peça (0,22 kg).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</si>
</sst>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#,##0"/>
    <numFmt numFmtId="166" formatCode="0%"/>
    <numFmt numFmtId="167" formatCode="#,##0.00"/>
    <numFmt numFmtId="168" formatCode="\+0.0%;\-0.0%;0.0%"/>
    <numFmt numFmtId="169" formatCode="dd/mm/yyyy"/>
    <numFmt numFmtId="170" formatCode="#,##0.0"/>
  </numFmts>
  <fonts count="3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EEE7D6"/>
      <name val="Arial"/>
      <family val="0"/>
      <charset val="1"/>
    </font>
    <font>
      <sz val="9"/>
      <color rgb="FFEEE7D6"/>
      <name val="Arial"/>
      <family val="0"/>
      <charset val="1"/>
    </font>
    <font>
      <b val="true"/>
      <sz val="9"/>
      <color rgb="FFEEE7D6"/>
      <name val="Arial"/>
      <family val="0"/>
      <charset val="1"/>
    </font>
    <font>
      <b val="true"/>
      <sz val="26"/>
      <color rgb="FF11110F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b val="true"/>
      <sz val="18"/>
      <color rgb="FF11110F"/>
      <name val="Arial"/>
      <family val="0"/>
      <charset val="1"/>
    </font>
    <font>
      <b val="true"/>
      <sz val="11"/>
      <color rgb="FFEEE7D6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9"/>
      <color rgb="FF000000"/>
      <name val="Arial"/>
      <family val="0"/>
      <charset val="1"/>
    </font>
    <font>
      <i val="true"/>
      <sz val="9"/>
      <color rgb="FF7A7568"/>
      <name val="Arial"/>
      <family val="0"/>
      <charset val="1"/>
    </font>
    <font>
      <i val="true"/>
      <sz val="8"/>
      <color rgb="FF7A7568"/>
      <name val="Arial"/>
      <family val="0"/>
      <charset val="1"/>
    </font>
    <font>
      <sz val="9"/>
      <color rgb="FF7A7568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13"/>
      <color rgb="FF11110F"/>
      <name val="Arial"/>
      <family val="0"/>
      <charset val="1"/>
    </font>
    <font>
      <b val="true"/>
      <sz val="13"/>
      <color rgb="FFFFFFFF"/>
      <name val="Arial"/>
      <family val="0"/>
      <charset val="1"/>
    </font>
    <font>
      <b val="true"/>
      <sz val="9"/>
      <color rgb="FFC45D36"/>
      <name val="Arial"/>
      <family val="0"/>
      <charset val="1"/>
    </font>
    <font>
      <sz val="9"/>
      <color rgb="FF000000"/>
      <name val="Arial"/>
      <family val="0"/>
      <charset val="1"/>
    </font>
    <font>
      <sz val="10"/>
      <name val="Arial"/>
      <family val="2"/>
    </font>
    <font>
      <b val="true"/>
      <sz val="10"/>
      <color rgb="FFC45D36"/>
      <name val="Arial"/>
      <family val="0"/>
      <charset val="1"/>
    </font>
    <font>
      <b val="true"/>
      <sz val="10"/>
      <color rgb="FFEEE7D6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0"/>
      <color rgb="FF11110F"/>
      <name val="Arial"/>
      <family val="0"/>
      <charset val="1"/>
    </font>
    <font>
      <b val="true"/>
      <sz val="12"/>
      <color rgb="FFEEE7D6"/>
      <name val="Arial"/>
      <family val="0"/>
      <charset val="1"/>
    </font>
    <font>
      <sz val="10"/>
      <color rgb="FF333333"/>
      <name val="Arial"/>
      <family val="0"/>
      <charset val="1"/>
    </font>
    <font>
      <b val="true"/>
      <sz val="10"/>
      <color rgb="FFA32D1E"/>
      <name val="Arial"/>
      <family val="0"/>
      <charset val="1"/>
    </font>
    <font>
      <b val="true"/>
      <sz val="10"/>
      <color rgb="FFA86B00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7A7568"/>
      <name val="Arial"/>
      <family val="0"/>
      <charset val="1"/>
    </font>
  </fonts>
  <fills count="14">
    <fill>
      <patternFill patternType="none"/>
    </fill>
    <fill>
      <patternFill patternType="gray125"/>
    </fill>
    <fill>
      <patternFill patternType="solid">
        <fgColor rgb="FF11110F"/>
        <bgColor rgb="FF000000"/>
      </patternFill>
    </fill>
    <fill>
      <patternFill patternType="solid">
        <fgColor rgb="FF26261F"/>
        <bgColor rgb="FF333333"/>
      </patternFill>
    </fill>
    <fill>
      <patternFill patternType="solid">
        <fgColor rgb="FFEEE7D6"/>
        <bgColor rgb="FFEFEDE7"/>
      </patternFill>
    </fill>
    <fill>
      <patternFill patternType="solid">
        <fgColor rgb="FFC45D36"/>
        <bgColor rgb="FFC0504D"/>
      </patternFill>
    </fill>
    <fill>
      <patternFill patternType="solid">
        <fgColor rgb="FF555C3A"/>
        <bgColor rgb="FF7A7568"/>
      </patternFill>
    </fill>
    <fill>
      <patternFill patternType="solid">
        <fgColor rgb="FFF7F3EA"/>
        <bgColor rgb="FFEFEDE7"/>
      </patternFill>
    </fill>
    <fill>
      <patternFill patternType="solid">
        <fgColor rgb="FFFFF0C9"/>
        <bgColor rgb="FFFFF2CC"/>
      </patternFill>
    </fill>
    <fill>
      <patternFill patternType="solid">
        <fgColor rgb="FFFFFFFF"/>
        <bgColor rgb="FFF7F3EA"/>
      </patternFill>
    </fill>
    <fill>
      <patternFill patternType="solid">
        <fgColor rgb="FFF9D9D3"/>
        <bgColor rgb="FFEEE7D6"/>
      </patternFill>
    </fill>
    <fill>
      <patternFill patternType="solid">
        <fgColor rgb="FFFFF2CC"/>
        <bgColor rgb="FFFFF0C9"/>
      </patternFill>
    </fill>
    <fill>
      <patternFill patternType="solid">
        <fgColor rgb="FFD9EAD3"/>
        <bgColor rgb="FFEEE7D6"/>
      </patternFill>
    </fill>
    <fill>
      <patternFill patternType="solid">
        <fgColor rgb="FFEFEDE7"/>
        <bgColor rgb="FFF7F3EA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9C2B2"/>
      </left>
      <right style="thin">
        <color rgb="FFC9C2B2"/>
      </right>
      <top style="thin">
        <color rgb="FFC9C2B2"/>
      </top>
      <bottom style="thin">
        <color rgb="FFC9C2B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0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9" fontId="6" fillId="3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21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22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3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6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2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70" fontId="2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70" fontId="2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2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9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0" fillId="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9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7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2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3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4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5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36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0">
    <dxf>
      <font>
        <name val="Arial"/>
        <charset val="1"/>
        <family val="0"/>
        <b val="1"/>
        <color rgb="FF2E7D32"/>
        <sz val="9"/>
      </font>
      <fill>
        <patternFill>
          <bgColor rgb="FFD9EAD3"/>
        </patternFill>
      </fill>
    </dxf>
    <dxf>
      <font>
        <name val="Arial"/>
        <charset val="1"/>
        <family val="0"/>
        <b val="1"/>
        <color rgb="FFA86B00"/>
        <sz val="9"/>
      </font>
      <fill>
        <patternFill>
          <bgColor rgb="FFFFF2CC"/>
        </patternFill>
      </fill>
    </dxf>
    <dxf>
      <font>
        <name val="Arial"/>
        <charset val="1"/>
        <family val="0"/>
        <b val="1"/>
        <color rgb="FFA32D1E"/>
        <sz val="9"/>
      </font>
      <fill>
        <patternFill>
          <bgColor rgb="FFF9D9D3"/>
        </patternFill>
      </fill>
    </dxf>
    <dxf>
      <font>
        <name val="Arial"/>
        <charset val="1"/>
        <family val="0"/>
        <b val="1"/>
        <color rgb="FF7A7568"/>
        <sz val="9"/>
      </font>
      <fill>
        <patternFill>
          <bgColor rgb="FFEFEDE7"/>
        </patternFill>
      </fill>
    </dxf>
    <dxf>
      <font>
        <name val="Arial"/>
        <charset val="1"/>
        <family val="0"/>
        <b val="1"/>
        <color rgb="FFA32D1E"/>
      </font>
      <fill>
        <patternFill>
          <bgColor rgb="FFF9D9D3"/>
        </patternFill>
      </fill>
    </dxf>
    <dxf>
      <font>
        <name val="Arial"/>
        <charset val="1"/>
        <family val="0"/>
        <b val="1"/>
        <color rgb="FF2E7D32"/>
      </font>
      <fill>
        <patternFill>
          <bgColor rgb="FFD9EAD3"/>
        </patternFill>
      </fill>
    </dxf>
    <dxf>
      <fill>
        <patternFill patternType="solid">
          <fgColor rgb="FF555C3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B3AEA0"/>
          <bgColor rgb="FF000000"/>
        </patternFill>
      </fill>
    </dxf>
    <dxf>
      <fill>
        <patternFill patternType="solid">
          <fgColor rgb="FFC45D36"/>
          <bgColor rgb="FF000000"/>
        </patternFill>
      </fill>
    </dxf>
    <dxf>
      <fill>
        <patternFill patternType="solid">
          <fgColor rgb="FFEEE7D6"/>
          <bgColor rgb="FF000000"/>
        </patternFill>
      </fill>
    </dxf>
    <dxf>
      <fill>
        <patternFill patternType="solid">
          <fgColor rgb="FFFFF0C9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7A7568"/>
          <bgColor rgb="FF000000"/>
        </patternFill>
      </fill>
    </dxf>
    <dxf>
      <fill>
        <patternFill patternType="solid">
          <fgColor rgb="FFEFEDE7"/>
          <bgColor rgb="FF000000"/>
        </patternFill>
      </fill>
    </dxf>
    <dxf>
      <fill>
        <patternFill patternType="solid">
          <fgColor rgb="FFF9D9D3"/>
          <bgColor rgb="FF000000"/>
        </patternFill>
      </fill>
    </dxf>
    <dxf>
      <fill>
        <patternFill patternType="solid">
          <fgColor rgb="FFA32D1E"/>
          <bgColor rgb="FF000000"/>
        </patternFill>
      </fill>
    </dxf>
    <dxf>
      <font>
        <name val="Arial"/>
        <charset val="1"/>
        <family val="0"/>
        <b val="1"/>
        <color rgb="FFFFFFFF"/>
        <sz val="9"/>
      </font>
      <fill>
        <patternFill>
          <bgColor rgb="FFC45D36"/>
        </patternFill>
      </fill>
    </dxf>
    <dxf>
      <font>
        <name val="Arial"/>
        <charset val="1"/>
        <family val="0"/>
        <color rgb="FFB3AEA0"/>
        <sz val="9"/>
      </font>
    </dxf>
    <dxf>
      <font>
        <name val="Arial"/>
        <charset val="1"/>
        <family val="0"/>
        <b val="1"/>
        <color rgb="FFA86B00"/>
      </font>
      <fill>
        <patternFill>
          <bgColor rgb="FFFFF2CC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A86B00"/>
      <rgbColor rgb="FF800080"/>
      <rgbColor rgb="FF008080"/>
      <rgbColor rgb="FFC9C2B2"/>
      <rgbColor rgb="FF878787"/>
      <rgbColor rgb="FF9999FF"/>
      <rgbColor rgb="FFC0504D"/>
      <rgbColor rgb="FFFFF2CC"/>
      <rgbColor rgb="FFEFEDE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7F3EA"/>
      <rgbColor rgb="FFD9EAD3"/>
      <rgbColor rgb="FFFFF0C9"/>
      <rgbColor rgb="FFEEE7D6"/>
      <rgbColor rgb="FFFF99CC"/>
      <rgbColor rgb="FFCC99FF"/>
      <rgbColor rgb="FFF9D9D3"/>
      <rgbColor rgb="FF4F81BD"/>
      <rgbColor rgb="FF33CCCC"/>
      <rgbColor rgb="FF9BBB59"/>
      <rgbColor rgb="FFFFCC00"/>
      <rgbColor rgb="FFFF9900"/>
      <rgbColor rgb="FFC45D36"/>
      <rgbColor rgb="FF8064A2"/>
      <rgbColor rgb="FFB3AEA0"/>
      <rgbColor rgb="FF003366"/>
      <rgbColor rgb="FF2E7D32"/>
      <rgbColor rgb="FF11110F"/>
      <rgbColor rgb="FF26261F"/>
      <rgbColor rgb="FFA32D1E"/>
      <rgbColor rgb="FF7A7568"/>
      <rgbColor rgb="FF555C3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Planejado x Cortado por tamanho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PAINEL!B18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555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PAINEL!$A$19:$A$22</c:f>
              <c:strCache>
                <c:ptCount val="4"/>
                <c:pt idx="0">
                  <c:v>P</c:v>
                </c:pt>
                <c:pt idx="1">
                  <c:v>M</c:v>
                </c:pt>
                <c:pt idx="2">
                  <c:v>G</c:v>
                </c:pt>
                <c:pt idx="3">
                  <c:v>GG</c:v>
                </c:pt>
              </c:strCache>
            </c:strRef>
          </c:cat>
          <c:val>
            <c:numRef>
              <c:f>PAINEL!$B$19:$B$22</c:f>
              <c:numCache>
                <c:formatCode>#,##0</c:formatCode>
                <c:ptCount val="4"/>
                <c:pt idx="0">
                  <c:v>15</c:v>
                </c:pt>
                <c:pt idx="1">
                  <c:v>30</c:v>
                </c:pt>
                <c:pt idx="2">
                  <c:v>55</c:v>
                </c:pt>
                <c:pt idx="3">
                  <c:v>40</c:v>
                </c:pt>
              </c:numCache>
            </c:numRef>
          </c:val>
        </c:ser>
        <c:ser>
          <c:idx val="1"/>
          <c:order val="1"/>
          <c:tx>
            <c:strRef>
              <c:f>PAINEL!C18</c:f>
              <c:strCache>
                <c:ptCount val="1"/>
                <c:pt idx="0">
                  <c:v>Cortado</c:v>
                </c:pt>
              </c:strCache>
            </c:strRef>
          </c:tx>
          <c:spPr>
            <a:solidFill>
              <a:srgbClr val="c45d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PAINEL!$A$19:$A$22</c:f>
              <c:strCache>
                <c:ptCount val="4"/>
                <c:pt idx="0">
                  <c:v>P</c:v>
                </c:pt>
                <c:pt idx="1">
                  <c:v>M</c:v>
                </c:pt>
                <c:pt idx="2">
                  <c:v>G</c:v>
                </c:pt>
                <c:pt idx="3">
                  <c:v>GG</c:v>
                </c:pt>
              </c:strCache>
            </c:strRef>
          </c:cat>
          <c:val>
            <c:numRef>
              <c:f>PAINEL!$C$19:$C$22</c:f>
              <c:numCache>
                <c:formatCode>#,##0</c:formatCode>
                <c:ptCount val="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</c:ser>
        <c:gapWidth val="150"/>
        <c:overlap val="0"/>
        <c:axId val="1818711"/>
        <c:axId val="9286731"/>
      </c:barChart>
      <c:catAx>
        <c:axId val="18187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Tamanho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9286731"/>
        <c:crosses val="autoZero"/>
        <c:auto val="1"/>
        <c:lblAlgn val="ctr"/>
        <c:lblOffset val="100"/>
        <c:noMultiLvlLbl val="0"/>
      </c:catAx>
      <c:valAx>
        <c:axId val="92867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Peças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81871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Planejado x Cortado por malha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bar"/>
        <c:grouping val="clustered"/>
        <c:varyColors val="0"/>
        <c:ser>
          <c:idx val="0"/>
          <c:order val="0"/>
          <c:tx>
            <c:strRef>
              <c:f>PAINEL!B12</c:f>
              <c:strCache>
                <c:ptCount val="1"/>
                <c:pt idx="0">
                  <c:v>Planejado</c:v>
                </c:pt>
              </c:strCache>
            </c:strRef>
          </c:tx>
          <c:spPr>
            <a:solidFill>
              <a:srgbClr val="555c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PAINEL!$A$13:$A$14</c:f>
              <c:strCache>
                <c:ptCount val="2"/>
                <c:pt idx="0">
                  <c:v>Algodão Pima Preta</c:v>
                </c:pt>
                <c:pt idx="1">
                  <c:v>Peruana Off White</c:v>
                </c:pt>
              </c:strCache>
            </c:strRef>
          </c:cat>
          <c:val>
            <c:numRef>
              <c:f>PAINEL!$B$13:$B$14</c:f>
              <c:numCache>
                <c:formatCode>#,##0</c:formatCode>
                <c:ptCount val="2"/>
                <c:pt idx="0">
                  <c:v>60</c:v>
                </c:pt>
                <c:pt idx="1">
                  <c:v>80</c:v>
                </c:pt>
              </c:numCache>
            </c:numRef>
          </c:val>
        </c:ser>
        <c:ser>
          <c:idx val="1"/>
          <c:order val="1"/>
          <c:tx>
            <c:strRef>
              <c:f>PAINEL!C12</c:f>
              <c:strCache>
                <c:ptCount val="1"/>
                <c:pt idx="0">
                  <c:v>Cortado</c:v>
                </c:pt>
              </c:strCache>
            </c:strRef>
          </c:tx>
          <c:spPr>
            <a:solidFill>
              <a:srgbClr val="c45d36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PAINEL!$A$13:$A$14</c:f>
              <c:strCache>
                <c:ptCount val="2"/>
                <c:pt idx="0">
                  <c:v>Algodão Pima Preta</c:v>
                </c:pt>
                <c:pt idx="1">
                  <c:v>Peruana Off White</c:v>
                </c:pt>
              </c:strCache>
            </c:strRef>
          </c:cat>
          <c:val>
            <c:numRef>
              <c:f>PAINEL!$C$13:$C$14</c:f>
              <c:numCache>
                <c:formatCode>#,##0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gapWidth val="150"/>
        <c:overlap val="0"/>
        <c:axId val="15603678"/>
        <c:axId val="5813754"/>
      </c:barChart>
      <c:catAx>
        <c:axId val="1560367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13754"/>
        <c:crosses val="autoZero"/>
        <c:auto val="1"/>
        <c:lblAlgn val="ctr"/>
        <c:lblOffset val="100"/>
        <c:noMultiLvlLbl val="0"/>
      </c:catAx>
      <c:valAx>
        <c:axId val="5813754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15603678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Grades por status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doughnutChart>
        <c:varyColors val="1"/>
        <c:ser>
          <c:idx val="0"/>
          <c:order val="0"/>
          <c:tx>
            <c:strRef>
              <c:f>PAINEL!O44</c:f>
              <c:strCache>
                <c:ptCount val="1"/>
                <c:pt idx="0">
                  <c:v>Grades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Pt>
            <c:idx val="3"/>
            <c:spPr>
              <a:solidFill>
                <a:srgbClr val="8064a2"/>
              </a:solidFill>
              <a:ln w="0">
                <a:noFill/>
              </a:ln>
            </c:spPr>
          </c:dPt>
          <c:dLbls>
            <c:dLbl>
              <c:idx val="0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1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2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dLbl>
              <c:idx val="3"/>
              <c:txPr>
                <a:bodyPr wrap="none"/>
                <a:lstStyle/>
                <a:p>
                  <a:pPr>
                    <a:defRPr b="0" sz="1000" spc="-1" strike="noStrike">
                      <a:latin typeface="Arial"/>
                    </a:defRPr>
                  </a:pPr>
                </a:p>
              </c:txPr>
              <c:showLegendKey val="0"/>
              <c:showVal val="0"/>
              <c:showCatName val="0"/>
              <c:showSerName val="0"/>
              <c:showPercent val="0"/>
              <c:separator> </c:separator>
            </c:dLbl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</c:dLbls>
          <c:cat>
            <c:strRef>
              <c:f>PAINEL!$N$45:$N$48</c:f>
              <c:strCache>
                <c:ptCount val="4"/>
                <c:pt idx="0">
                  <c:v>CORTADO</c:v>
                </c:pt>
                <c:pt idx="1">
                  <c:v>EM CORTE</c:v>
                </c:pt>
                <c:pt idx="2">
                  <c:v>PENDENTE</c:v>
                </c:pt>
                <c:pt idx="3">
                  <c:v>EXCEDENTE</c:v>
                </c:pt>
              </c:strCache>
            </c:strRef>
          </c:cat>
          <c:val>
            <c:numRef>
              <c:f>PAINEL!$O$45:$O$48</c:f>
              <c:numCache>
                <c:formatCode>General</c:formatCode>
                <c:ptCount val="4"/>
                <c:pt idx="0">
                  <c:v>0</c:v>
                </c:pt>
                <c:pt idx="1">
                  <c:v>0</c:v>
                </c:pt>
                <c:pt idx="2">
                  <c:v>11</c:v>
                </c:pt>
                <c:pt idx="3">
                  <c:v>0</c:v>
                </c:pt>
              </c:numCache>
            </c:numRef>
          </c:val>
        </c:ser>
        <c:firstSliceAng val="0"/>
        <c:holeSize val="50"/>
      </c:doughnut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24</xdr:row>
      <xdr:rowOff>0</xdr:rowOff>
    </xdr:from>
    <xdr:to>
      <xdr:col>6</xdr:col>
      <xdr:colOff>755280</xdr:colOff>
      <xdr:row>40</xdr:row>
      <xdr:rowOff>11520</xdr:rowOff>
    </xdr:to>
    <xdr:graphicFrame>
      <xdr:nvGraphicFramePr>
        <xdr:cNvPr id="0" name="Chart 1"/>
        <xdr:cNvGraphicFramePr/>
      </xdr:nvGraphicFramePr>
      <xdr:xfrm>
        <a:off x="0" y="65246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24</xdr:row>
      <xdr:rowOff>0</xdr:rowOff>
    </xdr:from>
    <xdr:to>
      <xdr:col>14</xdr:col>
      <xdr:colOff>2880</xdr:colOff>
      <xdr:row>40</xdr:row>
      <xdr:rowOff>11520</xdr:rowOff>
    </xdr:to>
    <xdr:graphicFrame>
      <xdr:nvGraphicFramePr>
        <xdr:cNvPr id="1" name="Chart 2"/>
        <xdr:cNvGraphicFramePr/>
      </xdr:nvGraphicFramePr>
      <xdr:xfrm>
        <a:off x="5920920" y="6524640"/>
        <a:ext cx="57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43</xdr:row>
      <xdr:rowOff>0</xdr:rowOff>
    </xdr:from>
    <xdr:to>
      <xdr:col>4</xdr:col>
      <xdr:colOff>576360</xdr:colOff>
      <xdr:row>59</xdr:row>
      <xdr:rowOff>11520</xdr:rowOff>
    </xdr:to>
    <xdr:graphicFrame>
      <xdr:nvGraphicFramePr>
        <xdr:cNvPr id="2" name="Chart 3"/>
        <xdr:cNvGraphicFramePr/>
      </xdr:nvGraphicFramePr>
      <xdr:xfrm>
        <a:off x="0" y="10144080"/>
        <a:ext cx="3959640" cy="30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D36"/>
    <pageSetUpPr fitToPage="true"/>
  </sheetPr>
  <dimension ref="A1:O48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3" min="2" style="0" width="11"/>
    <col collapsed="false" customWidth="true" hidden="false" outlineLevel="0" max="4" min="4" style="0" width="10"/>
    <col collapsed="false" customWidth="true" hidden="false" outlineLevel="0" max="5" min="5" style="0" width="11"/>
    <col collapsed="false" customWidth="true" hidden="false" outlineLevel="0" max="6" min="6" style="0" width="12"/>
    <col collapsed="false" customWidth="true" hidden="false" outlineLevel="0" max="7" min="7" style="0" width="13"/>
    <col collapsed="false" customWidth="true" hidden="false" outlineLevel="0" max="8" min="8" style="0" width="16"/>
    <col collapsed="false" customWidth="true" hidden="false" outlineLevel="0" max="11" min="9" style="0" width="11"/>
    <col collapsed="false" customWidth="true" hidden="false" outlineLevel="0" max="12" min="12" style="0" width="10"/>
    <col collapsed="false" customWidth="true" hidden="false" outlineLevel="0" max="14" min="14" style="0" width="14"/>
    <col collapsed="false" customWidth="true" hidden="false" outlineLevel="0" max="15" min="15" style="0" width="9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4" customFormat="false" ht="19.5" hidden="false" customHeight="true" outlineLevel="0" collapsed="false">
      <c r="A4" s="3" t="s">
        <v>2</v>
      </c>
      <c r="B4" s="3"/>
      <c r="D4" s="3" t="s">
        <v>3</v>
      </c>
      <c r="E4" s="3"/>
      <c r="G4" s="3" t="s">
        <v>4</v>
      </c>
      <c r="H4" s="3"/>
      <c r="J4" s="3" t="s">
        <v>5</v>
      </c>
      <c r="K4" s="3"/>
    </row>
    <row r="5" customFormat="false" ht="45.75" hidden="false" customHeight="true" outlineLevel="0" collapsed="false">
      <c r="A5" s="4" t="n">
        <f aca="false">'PLANO DE CORTE'!F23</f>
        <v>140</v>
      </c>
      <c r="B5" s="4"/>
      <c r="D5" s="4" t="n">
        <f aca="false">'PLANO DE CORTE'!G23</f>
        <v>0</v>
      </c>
      <c r="E5" s="4"/>
      <c r="G5" s="4" t="n">
        <f aca="false">'PLANO DE CORTE'!H23</f>
        <v>140</v>
      </c>
      <c r="H5" s="4"/>
      <c r="J5" s="5" t="n">
        <f aca="false">IFERROR('PLANO DE CORTE'!G23/'PLANO DE CORTE'!F23,0)</f>
        <v>0</v>
      </c>
      <c r="K5" s="5"/>
    </row>
    <row r="7" customFormat="false" ht="19.5" hidden="false" customHeight="true" outlineLevel="0" collapsed="false">
      <c r="A7" s="6" t="s">
        <v>6</v>
      </c>
      <c r="B7" s="6"/>
      <c r="D7" s="6" t="s">
        <v>7</v>
      </c>
      <c r="E7" s="6"/>
      <c r="G7" s="6" t="s">
        <v>8</v>
      </c>
      <c r="H7" s="6"/>
      <c r="J7" s="6" t="s">
        <v>9</v>
      </c>
      <c r="K7" s="6"/>
    </row>
    <row r="8" customFormat="false" ht="33.75" hidden="false" customHeight="true" outlineLevel="0" collapsed="false">
      <c r="A8" s="7" t="n">
        <f aca="false">MALHAS!H7</f>
        <v>29.7777777777778</v>
      </c>
      <c r="B8" s="7"/>
      <c r="D8" s="7" t="n">
        <f aca="false">MALHAS!J7</f>
        <v>0</v>
      </c>
      <c r="E8" s="7"/>
      <c r="G8" s="7" t="n">
        <f aca="false">IFERROR(MALHAS!I7/MALHAS!J7,0)</f>
        <v>0</v>
      </c>
      <c r="H8" s="7"/>
      <c r="J8" s="8" t="n">
        <f aca="false">MODELAGENS!G5+MODELAGENS!G6</f>
        <v>60</v>
      </c>
      <c r="K8" s="8"/>
    </row>
    <row r="11" customFormat="false" ht="15" hidden="false" customHeight="false" outlineLevel="0" collapsed="false">
      <c r="A11" s="9" t="s">
        <v>10</v>
      </c>
      <c r="B11" s="9"/>
      <c r="C11" s="9"/>
      <c r="D11" s="9"/>
      <c r="E11" s="9"/>
      <c r="F11" s="9"/>
      <c r="H11" s="9" t="s">
        <v>11</v>
      </c>
      <c r="I11" s="9"/>
      <c r="J11" s="9"/>
      <c r="K11" s="9"/>
      <c r="L11" s="9"/>
    </row>
    <row r="12" customFormat="false" ht="31.5" hidden="false" customHeight="true" outlineLevel="0" collapsed="false">
      <c r="A12" s="10" t="s">
        <v>12</v>
      </c>
      <c r="B12" s="10" t="s">
        <v>13</v>
      </c>
      <c r="C12" s="10" t="s">
        <v>14</v>
      </c>
      <c r="D12" s="10" t="s">
        <v>15</v>
      </c>
      <c r="E12" s="10" t="s">
        <v>16</v>
      </c>
      <c r="F12" s="10" t="s">
        <v>17</v>
      </c>
      <c r="H12" s="10" t="s">
        <v>18</v>
      </c>
      <c r="I12" s="10" t="s">
        <v>13</v>
      </c>
      <c r="J12" s="10" t="s">
        <v>14</v>
      </c>
      <c r="K12" s="10" t="s">
        <v>16</v>
      </c>
      <c r="L12" s="10" t="s">
        <v>19</v>
      </c>
    </row>
    <row r="13" customFormat="false" ht="21.75" hidden="false" customHeight="true" outlineLevel="0" collapsed="false">
      <c r="A13" s="11" t="str">
        <f aca="false">MALHAS!B5&amp;" "&amp;MALHAS!C5</f>
        <v>Algodão Pima Preta</v>
      </c>
      <c r="B13" s="12" t="n">
        <f aca="false">MALHAS!G5</f>
        <v>60</v>
      </c>
      <c r="C13" s="12" t="n">
        <f aca="false">MALHAS!I5</f>
        <v>0</v>
      </c>
      <c r="D13" s="12" t="n">
        <f aca="false">MAX(0,B13-C13)</f>
        <v>60</v>
      </c>
      <c r="E13" s="13" t="n">
        <f aca="false">IFERROR(C13/B13,0)</f>
        <v>0</v>
      </c>
      <c r="F13" s="14" t="n">
        <f aca="false">MALHAS!H5</f>
        <v>12</v>
      </c>
      <c r="H13" s="11" t="str">
        <f aca="false">MODELAGENS!A5</f>
        <v>Axozee Slim</v>
      </c>
      <c r="I13" s="12" t="n">
        <f aca="false">MODELAGENS!E5</f>
        <v>60</v>
      </c>
      <c r="J13" s="12" t="n">
        <f aca="false">MODELAGENS!F5</f>
        <v>0</v>
      </c>
      <c r="K13" s="13" t="n">
        <f aca="false">IFERROR(J13/I13,0)</f>
        <v>0</v>
      </c>
      <c r="L13" s="12" t="n">
        <f aca="false">MODELAGENS!G5</f>
        <v>60</v>
      </c>
    </row>
    <row r="14" customFormat="false" ht="21.75" hidden="false" customHeight="true" outlineLevel="0" collapsed="false">
      <c r="A14" s="11" t="str">
        <f aca="false">MALHAS!B6&amp;" "&amp;MALHAS!C6</f>
        <v>Peruana Off White</v>
      </c>
      <c r="B14" s="12" t="n">
        <f aca="false">MALHAS!G6</f>
        <v>80</v>
      </c>
      <c r="C14" s="12" t="n">
        <f aca="false">MALHAS!I6</f>
        <v>0</v>
      </c>
      <c r="D14" s="12" t="n">
        <f aca="false">MAX(0,B14-C14)</f>
        <v>80</v>
      </c>
      <c r="E14" s="13" t="n">
        <f aca="false">IFERROR(C14/B14,0)</f>
        <v>0</v>
      </c>
      <c r="F14" s="14" t="n">
        <f aca="false">MALHAS!H6</f>
        <v>17.7777777777778</v>
      </c>
      <c r="H14" s="11" t="str">
        <f aca="false">MODELAGENS!A6</f>
        <v>Axozee Over</v>
      </c>
      <c r="I14" s="12" t="n">
        <f aca="false">MODELAGENS!E6</f>
        <v>80</v>
      </c>
      <c r="J14" s="12" t="n">
        <f aca="false">MODELAGENS!F6</f>
        <v>0</v>
      </c>
      <c r="K14" s="13" t="n">
        <f aca="false">IFERROR(J14/I14,0)</f>
        <v>0</v>
      </c>
      <c r="L14" s="12" t="n">
        <f aca="false">MODELAGENS!G6</f>
        <v>0</v>
      </c>
    </row>
    <row r="17" customFormat="false" ht="15" hidden="false" customHeight="false" outlineLevel="0" collapsed="false">
      <c r="A17" s="9" t="s">
        <v>20</v>
      </c>
      <c r="B17" s="9"/>
      <c r="C17" s="9"/>
      <c r="D17" s="9"/>
      <c r="E17" s="9"/>
      <c r="F17" s="9"/>
      <c r="H17" s="9" t="s">
        <v>21</v>
      </c>
      <c r="I17" s="9"/>
      <c r="J17" s="9"/>
      <c r="K17" s="9"/>
      <c r="L17" s="9"/>
    </row>
    <row r="18" customFormat="false" ht="31.5" hidden="false" customHeight="true" outlineLevel="0" collapsed="false">
      <c r="A18" s="10" t="s">
        <v>22</v>
      </c>
      <c r="B18" s="10" t="s">
        <v>13</v>
      </c>
      <c r="C18" s="10" t="s">
        <v>14</v>
      </c>
      <c r="D18" s="10" t="s">
        <v>15</v>
      </c>
      <c r="E18" s="10" t="s">
        <v>16</v>
      </c>
      <c r="F18" s="10" t="s">
        <v>23</v>
      </c>
      <c r="H18" s="10" t="s">
        <v>12</v>
      </c>
      <c r="I18" s="10" t="s">
        <v>24</v>
      </c>
      <c r="J18" s="10" t="s">
        <v>25</v>
      </c>
      <c r="K18" s="10" t="s">
        <v>26</v>
      </c>
      <c r="L18" s="10" t="s">
        <v>27</v>
      </c>
    </row>
    <row r="19" customFormat="false" ht="21.75" hidden="false" customHeight="true" outlineLevel="0" collapsed="false">
      <c r="A19" s="15" t="s">
        <v>28</v>
      </c>
      <c r="B19" s="12" t="n">
        <f aca="false">SUMIFS('PLANO DE CORTE'!$F$7:$F$22,'PLANO DE CORTE'!$D$7:$D$22,$A19)</f>
        <v>15</v>
      </c>
      <c r="C19" s="12" t="n">
        <f aca="false">SUMIFS('PLANO DE CORTE'!$G$7:$G$22,'PLANO DE CORTE'!$D$7:$D$22,$A19)</f>
        <v>0</v>
      </c>
      <c r="D19" s="12" t="n">
        <f aca="false">MAX(0,B19-C19)</f>
        <v>15</v>
      </c>
      <c r="E19" s="13" t="n">
        <f aca="false">IFERROR(C19/B19,0)</f>
        <v>0</v>
      </c>
      <c r="F19" s="16" t="str">
        <f aca="false">IF(B19=0,"SEM PLANO",IF(C19=0,"PENDENTE",IF(C19&lt;B19,"EM CORTE","CORTADO")))</f>
        <v>PENDENTE</v>
      </c>
      <c r="H19" s="11" t="str">
        <f aca="false">MALHAS!B5</f>
        <v>Algodão Pima</v>
      </c>
      <c r="I19" s="14" t="n">
        <f aca="false">MALHAS!E5</f>
        <v>5</v>
      </c>
      <c r="J19" s="14" t="n">
        <f aca="false">MALHAS!K5</f>
        <v>0</v>
      </c>
      <c r="K19" s="17" t="str">
        <f aca="false">IF(MALHAS!J5=0,"—",MALHAS!L5)</f>
        <v>—</v>
      </c>
      <c r="L19" s="14" t="n">
        <f aca="false">MALHAS!M5</f>
        <v>0</v>
      </c>
    </row>
    <row r="20" customFormat="false" ht="21.75" hidden="false" customHeight="true" outlineLevel="0" collapsed="false">
      <c r="A20" s="15" t="s">
        <v>29</v>
      </c>
      <c r="B20" s="12" t="n">
        <f aca="false">SUMIFS('PLANO DE CORTE'!$F$7:$F$22,'PLANO DE CORTE'!$D$7:$D$22,$A20)</f>
        <v>30</v>
      </c>
      <c r="C20" s="12" t="n">
        <f aca="false">SUMIFS('PLANO DE CORTE'!$G$7:$G$22,'PLANO DE CORTE'!$D$7:$D$22,$A20)</f>
        <v>0</v>
      </c>
      <c r="D20" s="12" t="n">
        <f aca="false">MAX(0,B20-C20)</f>
        <v>30</v>
      </c>
      <c r="E20" s="13" t="n">
        <f aca="false">IFERROR(C20/B20,0)</f>
        <v>0</v>
      </c>
      <c r="F20" s="16" t="str">
        <f aca="false">IF(B20=0,"SEM PLANO",IF(C20=0,"PENDENTE",IF(C20&lt;B20,"EM CORTE","CORTADO")))</f>
        <v>PENDENTE</v>
      </c>
      <c r="H20" s="11" t="str">
        <f aca="false">MALHAS!B6</f>
        <v>Peruana</v>
      </c>
      <c r="I20" s="14" t="n">
        <f aca="false">MALHAS!E6</f>
        <v>4.5</v>
      </c>
      <c r="J20" s="14" t="n">
        <f aca="false">MALHAS!K6</f>
        <v>0</v>
      </c>
      <c r="K20" s="17" t="str">
        <f aca="false">IF(MALHAS!J6=0,"—",MALHAS!L6)</f>
        <v>—</v>
      </c>
      <c r="L20" s="14" t="n">
        <f aca="false">MALHAS!M6</f>
        <v>0.222222222222221</v>
      </c>
    </row>
    <row r="21" customFormat="false" ht="21.75" hidden="false" customHeight="true" outlineLevel="0" collapsed="false">
      <c r="A21" s="15" t="s">
        <v>30</v>
      </c>
      <c r="B21" s="12" t="n">
        <f aca="false">SUMIFS('PLANO DE CORTE'!$F$7:$F$22,'PLANO DE CORTE'!$D$7:$D$22,$A21)</f>
        <v>55</v>
      </c>
      <c r="C21" s="12" t="n">
        <f aca="false">SUMIFS('PLANO DE CORTE'!$G$7:$G$22,'PLANO DE CORTE'!$D$7:$D$22,$A21)</f>
        <v>0</v>
      </c>
      <c r="D21" s="12" t="n">
        <f aca="false">MAX(0,B21-C21)</f>
        <v>55</v>
      </c>
      <c r="E21" s="13" t="n">
        <f aca="false">IFERROR(C21/B21,0)</f>
        <v>0</v>
      </c>
      <c r="F21" s="16" t="str">
        <f aca="false">IF(B21=0,"SEM PLANO",IF(C21=0,"PENDENTE",IF(C21&lt;B21,"EM CORTE","CORTADO")))</f>
        <v>PENDENTE</v>
      </c>
      <c r="H21" s="18" t="s">
        <v>31</v>
      </c>
      <c r="I21" s="18"/>
      <c r="J21" s="18"/>
      <c r="K21" s="18"/>
      <c r="L21" s="18"/>
    </row>
    <row r="22" customFormat="false" ht="21.75" hidden="false" customHeight="true" outlineLevel="0" collapsed="false">
      <c r="A22" s="15" t="s">
        <v>32</v>
      </c>
      <c r="B22" s="12" t="n">
        <f aca="false">SUMIFS('PLANO DE CORTE'!$F$7:$F$22,'PLANO DE CORTE'!$D$7:$D$22,$A22)</f>
        <v>40</v>
      </c>
      <c r="C22" s="12" t="n">
        <f aca="false">SUMIFS('PLANO DE CORTE'!$G$7:$G$22,'PLANO DE CORTE'!$D$7:$D$22,$A22)</f>
        <v>0</v>
      </c>
      <c r="D22" s="12" t="n">
        <f aca="false">MAX(0,B22-C22)</f>
        <v>40</v>
      </c>
      <c r="E22" s="13" t="n">
        <f aca="false">IFERROR(C22/B22,0)</f>
        <v>0</v>
      </c>
      <c r="F22" s="16" t="str">
        <f aca="false">IF(B22=0,"SEM PLANO",IF(C22=0,"PENDENTE",IF(C22&lt;B22,"EM CORTE","CORTADO")))</f>
        <v>PENDENTE</v>
      </c>
      <c r="H22" s="18"/>
      <c r="I22" s="18"/>
      <c r="J22" s="18"/>
      <c r="K22" s="18"/>
      <c r="L22" s="18"/>
    </row>
    <row r="43" customFormat="false" ht="15" hidden="false" customHeight="false" outlineLevel="0" collapsed="false">
      <c r="N43" s="19" t="s">
        <v>33</v>
      </c>
      <c r="O43" s="19"/>
    </row>
    <row r="44" customFormat="false" ht="15" hidden="false" customHeight="false" outlineLevel="0" collapsed="false">
      <c r="N44" s="20" t="s">
        <v>23</v>
      </c>
      <c r="O44" s="20" t="s">
        <v>34</v>
      </c>
    </row>
    <row r="45" customFormat="false" ht="15" hidden="false" customHeight="false" outlineLevel="0" collapsed="false">
      <c r="N45" s="20" t="s">
        <v>35</v>
      </c>
      <c r="O45" s="20" t="n">
        <f aca="false">COUNTIF('PLANO DE CORTE'!$J$7:$J$22,"CORTADO")</f>
        <v>0</v>
      </c>
    </row>
    <row r="46" customFormat="false" ht="15" hidden="false" customHeight="false" outlineLevel="0" collapsed="false">
      <c r="N46" s="20" t="s">
        <v>36</v>
      </c>
      <c r="O46" s="20" t="n">
        <f aca="false">COUNTIF('PLANO DE CORTE'!$J$7:$J$22,"EM CORTE")</f>
        <v>0</v>
      </c>
    </row>
    <row r="47" customFormat="false" ht="15" hidden="false" customHeight="false" outlineLevel="0" collapsed="false">
      <c r="N47" s="20" t="s">
        <v>37</v>
      </c>
      <c r="O47" s="20" t="n">
        <f aca="false">COUNTIF('PLANO DE CORTE'!$J$7:$J$22,"PENDENTE")</f>
        <v>11</v>
      </c>
    </row>
    <row r="48" customFormat="false" ht="15" hidden="false" customHeight="false" outlineLevel="0" collapsed="false">
      <c r="N48" s="20" t="s">
        <v>38</v>
      </c>
      <c r="O48" s="20" t="n">
        <f aca="false">COUNTIF('PLANO DE CORTE'!$J$7:$J$22,"EXCEDENTE")</f>
        <v>0</v>
      </c>
    </row>
  </sheetData>
  <mergeCells count="23">
    <mergeCell ref="A1:L1"/>
    <mergeCell ref="A2:L2"/>
    <mergeCell ref="A4:B4"/>
    <mergeCell ref="D4:E4"/>
    <mergeCell ref="G4:H4"/>
    <mergeCell ref="J4:K4"/>
    <mergeCell ref="A5:B5"/>
    <mergeCell ref="D5:E5"/>
    <mergeCell ref="G5:H5"/>
    <mergeCell ref="J5:K5"/>
    <mergeCell ref="A7:B7"/>
    <mergeCell ref="D7:E7"/>
    <mergeCell ref="G7:H7"/>
    <mergeCell ref="J7:K7"/>
    <mergeCell ref="A8:B8"/>
    <mergeCell ref="D8:E8"/>
    <mergeCell ref="G8:H8"/>
    <mergeCell ref="J8:K8"/>
    <mergeCell ref="A11:F11"/>
    <mergeCell ref="H11:L11"/>
    <mergeCell ref="A17:F17"/>
    <mergeCell ref="H17:L17"/>
    <mergeCell ref="H21:L22"/>
  </mergeCells>
  <conditionalFormatting sqref="E13:E14">
    <cfRule type="dataBar" priority="2">
      <dataBar showValue="1" minLength="10" maxLength="90">
        <cfvo type="num" val="0"/>
        <cfvo type="num" val="1"/>
        <color rgb="FFC45D36"/>
      </dataBar>
      <extLst>
        <ext xmlns:x14="http://schemas.microsoft.com/office/spreadsheetml/2009/9/main" uri="{B025F937-C7B1-47D3-B67F-A62EFF666E3E}">
          <x14:id>{FE6A9B87-BDFB-4450-9B88-90A4BA297C66}</x14:id>
        </ext>
      </extLst>
    </cfRule>
  </conditionalFormatting>
  <conditionalFormatting sqref="K13:K14">
    <cfRule type="dataBar" priority="3">
      <dataBar showValue="1" minLength="10" maxLength="90">
        <cfvo type="num" val="0"/>
        <cfvo type="num" val="1"/>
        <color rgb="FF555C3A"/>
      </dataBar>
      <extLst>
        <ext xmlns:x14="http://schemas.microsoft.com/office/spreadsheetml/2009/9/main" uri="{B025F937-C7B1-47D3-B67F-A62EFF666E3E}">
          <x14:id>{2E592063-6949-48E0-84A7-6358ABFFD067}</x14:id>
        </ext>
      </extLst>
    </cfRule>
  </conditionalFormatting>
  <conditionalFormatting sqref="F19:F22">
    <cfRule type="cellIs" priority="4" operator="equal" aboveAverage="0" equalAverage="0" bottom="0" percent="0" rank="0" text="" dxfId="0">
      <formula>"CORTADO"</formula>
    </cfRule>
    <cfRule type="cellIs" priority="5" operator="equal" aboveAverage="0" equalAverage="0" bottom="0" percent="0" rank="0" text="" dxfId="1">
      <formula>"EM CORTE"</formula>
    </cfRule>
    <cfRule type="cellIs" priority="6" operator="equal" aboveAverage="0" equalAverage="0" bottom="0" percent="0" rank="0" text="" dxfId="2">
      <formula>"PENDENTE"</formula>
    </cfRule>
    <cfRule type="cellIs" priority="7" operator="equal" aboveAverage="0" equalAverage="0" bottom="0" percent="0" rank="0" text="" dxfId="3">
      <formula>"SEM PLANO"</formula>
    </cfRule>
  </conditionalFormatting>
  <conditionalFormatting sqref="K19:K20">
    <cfRule type="cellIs" priority="8" operator="lessThan" aboveAverage="0" equalAverage="0" bottom="0" percent="0" rank="0" text="" dxfId="4">
      <formula>0</formula>
    </cfRule>
    <cfRule type="cellIs" priority="9" operator="greaterThan" aboveAverage="0" equalAverage="0" bottom="0" percent="0" rank="0" text="" dxfId="5">
      <formula>0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6A9B87-BDFB-4450-9B88-90A4BA297C66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C45D36"/>
              <x14:axisColor rgb="FF000000"/>
            </x14:dataBar>
          </x14:cfRule>
          <xm:sqref>E13:E14</xm:sqref>
        </x14:conditionalFormatting>
        <x14:conditionalFormatting xmlns:xm="http://schemas.microsoft.com/office/excel/2006/main">
          <x14:cfRule type="dataBar" id="{2E592063-6949-48E0-84A7-6358ABFFD067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55C3A"/>
              <x14:axisColor rgb="FF000000"/>
            </x14:dataBar>
          </x14:cfRule>
          <xm:sqref>K13:K14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D36"/>
    <pageSetUpPr fitToPage="true"/>
  </sheetPr>
  <dimension ref="A1:N2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1"/>
    <col collapsed="false" customWidth="true" hidden="false" outlineLevel="0" max="3" min="3" style="0" width="15"/>
    <col collapsed="false" customWidth="true" hidden="false" outlineLevel="0" max="4" min="4" style="0" width="9"/>
    <col collapsed="false" customWidth="true" hidden="false" outlineLevel="0" max="5" min="5" style="0" width="21"/>
    <col collapsed="false" customWidth="true" hidden="false" outlineLevel="0" max="7" min="6" style="0" width="11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15"/>
    <col collapsed="false" customWidth="true" hidden="false" outlineLevel="0" max="11" min="11" style="0" width="11"/>
    <col collapsed="false" customWidth="true" hidden="false" outlineLevel="0" max="12" min="12" style="0" width="12"/>
    <col collapsed="false" customWidth="true" hidden="false" outlineLevel="0" max="13" min="13" style="0" width="15"/>
    <col collapsed="false" customWidth="true" hidden="false" outlineLevel="0" max="14" min="14" style="0" width="26"/>
  </cols>
  <sheetData>
    <row r="1" customFormat="false" ht="33.75" hidden="false" customHeight="true" outlineLevel="0" collapsed="false">
      <c r="A1" s="1" t="s">
        <v>39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8" hidden="false" customHeight="true" outlineLevel="0" collapsed="false">
      <c r="A2" s="2" t="s">
        <v>40</v>
      </c>
      <c r="B2" s="2"/>
      <c r="C2" s="2"/>
      <c r="D2" s="2"/>
      <c r="E2" s="2"/>
      <c r="F2" s="2"/>
      <c r="G2" s="2"/>
      <c r="H2" s="2"/>
      <c r="I2" s="2"/>
      <c r="J2" s="2"/>
      <c r="K2" s="2"/>
      <c r="L2" s="21" t="s">
        <v>41</v>
      </c>
      <c r="M2" s="21"/>
      <c r="N2" s="22" t="n">
        <f aca="true">TODAY()</f>
        <v>46308</v>
      </c>
    </row>
    <row r="3" customFormat="false" ht="27.75" hidden="false" customHeight="true" outlineLevel="0" collapsed="false">
      <c r="A3" s="23" t="s">
        <v>42</v>
      </c>
      <c r="B3" s="23"/>
      <c r="C3" s="24" t="n">
        <f aca="false">SUM(F7:F22)</f>
        <v>140</v>
      </c>
      <c r="D3" s="23" t="s">
        <v>35</v>
      </c>
      <c r="E3" s="23"/>
      <c r="F3" s="24" t="n">
        <f aca="false">SUM(G7:G22)</f>
        <v>0</v>
      </c>
      <c r="G3" s="23" t="s">
        <v>43</v>
      </c>
      <c r="H3" s="23"/>
      <c r="I3" s="24" t="n">
        <f aca="false">C3-F3</f>
        <v>140</v>
      </c>
      <c r="J3" s="23" t="s">
        <v>5</v>
      </c>
      <c r="K3" s="23"/>
      <c r="L3" s="25" t="n">
        <f aca="false">IFERROR(SUM(G7:G22)/SUM(F7:F22),0)</f>
        <v>0</v>
      </c>
      <c r="M3" s="23" t="s">
        <v>44</v>
      </c>
      <c r="N3" s="24" t="n">
        <f aca="false">MODELAGENS!G5+MODELAGENS!G6</f>
        <v>60</v>
      </c>
    </row>
    <row r="6" customFormat="false" ht="31.5" hidden="false" customHeight="true" outlineLevel="0" collapsed="false">
      <c r="A6" s="10" t="s">
        <v>45</v>
      </c>
      <c r="B6" s="10" t="s">
        <v>12</v>
      </c>
      <c r="C6" s="10" t="s">
        <v>18</v>
      </c>
      <c r="D6" s="10" t="s">
        <v>22</v>
      </c>
      <c r="E6" s="10" t="s">
        <v>46</v>
      </c>
      <c r="F6" s="10" t="s">
        <v>47</v>
      </c>
      <c r="G6" s="10" t="s">
        <v>48</v>
      </c>
      <c r="H6" s="10" t="s">
        <v>15</v>
      </c>
      <c r="I6" s="10" t="s">
        <v>16</v>
      </c>
      <c r="J6" s="10" t="s">
        <v>23</v>
      </c>
      <c r="K6" s="10" t="s">
        <v>17</v>
      </c>
      <c r="L6" s="10" t="s">
        <v>49</v>
      </c>
      <c r="M6" s="10" t="s">
        <v>50</v>
      </c>
      <c r="N6" s="10" t="s">
        <v>51</v>
      </c>
    </row>
    <row r="7" customFormat="false" ht="21.75" hidden="false" customHeight="true" outlineLevel="0" collapsed="false">
      <c r="A7" s="26" t="s">
        <v>52</v>
      </c>
      <c r="B7" s="27" t="s">
        <v>53</v>
      </c>
      <c r="C7" s="27" t="s">
        <v>54</v>
      </c>
      <c r="D7" s="27" t="s">
        <v>28</v>
      </c>
      <c r="E7" s="28" t="str">
        <f aca="false">IFERROR(INDEX(MODELAGENS!$C$5:$C$6,MATCH($C7,MODELAGENS!$A$5:$A$6,0)),"")</f>
        <v>Gola da própria malha</v>
      </c>
      <c r="F7" s="29" t="n">
        <v>5</v>
      </c>
      <c r="G7" s="29" t="n">
        <v>0</v>
      </c>
      <c r="H7" s="12" t="n">
        <f aca="false">MAX(0,F7-G7)</f>
        <v>5</v>
      </c>
      <c r="I7" s="13" t="n">
        <f aca="false">IFERROR(G7/F7,0)</f>
        <v>0</v>
      </c>
      <c r="J7" s="16" t="str">
        <f aca="false">IF(F7=0,"SEM PLANO",IF(G7=0,"PENDENTE",IF(G7&lt;F7,"EM CORTE",IF(G7=F7,"CORTADO","EXCEDENTE"))))</f>
        <v>PENDENTE</v>
      </c>
      <c r="K7" s="14" t="n">
        <f aca="false">IFERROR(F7/INDEX(MALHAS!$E$5:$E$6,MATCH($B7,MALHAS!$A$5:$A$6,0)),0)</f>
        <v>1</v>
      </c>
      <c r="L7" s="30"/>
      <c r="M7" s="27"/>
      <c r="N7" s="31"/>
    </row>
    <row r="8" customFormat="false" ht="21.75" hidden="false" customHeight="true" outlineLevel="0" collapsed="false">
      <c r="A8" s="26" t="s">
        <v>55</v>
      </c>
      <c r="B8" s="27" t="s">
        <v>53</v>
      </c>
      <c r="C8" s="27" t="s">
        <v>54</v>
      </c>
      <c r="D8" s="27" t="s">
        <v>29</v>
      </c>
      <c r="E8" s="28" t="str">
        <f aca="false">IFERROR(INDEX(MODELAGENS!$C$5:$C$6,MATCH($C8,MODELAGENS!$A$5:$A$6,0)),"")</f>
        <v>Gola da própria malha</v>
      </c>
      <c r="F8" s="29" t="n">
        <v>10</v>
      </c>
      <c r="G8" s="29" t="n">
        <v>0</v>
      </c>
      <c r="H8" s="12" t="n">
        <f aca="false">MAX(0,F8-G8)</f>
        <v>10</v>
      </c>
      <c r="I8" s="13" t="n">
        <f aca="false">IFERROR(G8/F8,0)</f>
        <v>0</v>
      </c>
      <c r="J8" s="16" t="str">
        <f aca="false">IF(F8=0,"SEM PLANO",IF(G8=0,"PENDENTE",IF(G8&lt;F8,"EM CORTE",IF(G8=F8,"CORTADO","EXCEDENTE"))))</f>
        <v>PENDENTE</v>
      </c>
      <c r="K8" s="14" t="n">
        <f aca="false">IFERROR(F8/INDEX(MALHAS!$E$5:$E$6,MATCH($B8,MALHAS!$A$5:$A$6,0)),0)</f>
        <v>2</v>
      </c>
      <c r="L8" s="30"/>
      <c r="M8" s="27"/>
      <c r="N8" s="31"/>
    </row>
    <row r="9" customFormat="false" ht="21.75" hidden="false" customHeight="true" outlineLevel="0" collapsed="false">
      <c r="A9" s="26" t="s">
        <v>56</v>
      </c>
      <c r="B9" s="27" t="s">
        <v>53</v>
      </c>
      <c r="C9" s="27" t="s">
        <v>54</v>
      </c>
      <c r="D9" s="27" t="s">
        <v>30</v>
      </c>
      <c r="E9" s="28" t="str">
        <f aca="false">IFERROR(INDEX(MODELAGENS!$C$5:$C$6,MATCH($C9,MODELAGENS!$A$5:$A$6,0)),"")</f>
        <v>Gola da própria malha</v>
      </c>
      <c r="F9" s="29" t="n">
        <v>20</v>
      </c>
      <c r="G9" s="29" t="n">
        <v>0</v>
      </c>
      <c r="H9" s="12" t="n">
        <f aca="false">MAX(0,F9-G9)</f>
        <v>20</v>
      </c>
      <c r="I9" s="13" t="n">
        <f aca="false">IFERROR(G9/F9,0)</f>
        <v>0</v>
      </c>
      <c r="J9" s="16" t="str">
        <f aca="false">IF(F9=0,"SEM PLANO",IF(G9=0,"PENDENTE",IF(G9&lt;F9,"EM CORTE",IF(G9=F9,"CORTADO","EXCEDENTE"))))</f>
        <v>PENDENTE</v>
      </c>
      <c r="K9" s="14" t="n">
        <f aca="false">IFERROR(F9/INDEX(MALHAS!$E$5:$E$6,MATCH($B9,MALHAS!$A$5:$A$6,0)),0)</f>
        <v>4</v>
      </c>
      <c r="L9" s="30"/>
      <c r="M9" s="27"/>
      <c r="N9" s="31"/>
    </row>
    <row r="10" customFormat="false" ht="21.75" hidden="false" customHeight="true" outlineLevel="0" collapsed="false">
      <c r="A10" s="26" t="s">
        <v>57</v>
      </c>
      <c r="B10" s="27" t="s">
        <v>53</v>
      </c>
      <c r="C10" s="27" t="s">
        <v>54</v>
      </c>
      <c r="D10" s="27" t="s">
        <v>32</v>
      </c>
      <c r="E10" s="28" t="str">
        <f aca="false">IFERROR(INDEX(MODELAGENS!$C$5:$C$6,MATCH($C10,MODELAGENS!$A$5:$A$6,0)),"")</f>
        <v>Gola da própria malha</v>
      </c>
      <c r="F10" s="29" t="n">
        <v>15</v>
      </c>
      <c r="G10" s="29" t="n">
        <v>0</v>
      </c>
      <c r="H10" s="12" t="n">
        <f aca="false">MAX(0,F10-G10)</f>
        <v>15</v>
      </c>
      <c r="I10" s="13" t="n">
        <f aca="false">IFERROR(G10/F10,0)</f>
        <v>0</v>
      </c>
      <c r="J10" s="16" t="str">
        <f aca="false">IF(F10=0,"SEM PLANO",IF(G10=0,"PENDENTE",IF(G10&lt;F10,"EM CORTE",IF(G10=F10,"CORTADO","EXCEDENTE"))))</f>
        <v>PENDENTE</v>
      </c>
      <c r="K10" s="14" t="n">
        <f aca="false">IFERROR(F10/INDEX(MALHAS!$E$5:$E$6,MATCH($B10,MALHAS!$A$5:$A$6,0)),0)</f>
        <v>3</v>
      </c>
      <c r="L10" s="30"/>
      <c r="M10" s="27"/>
      <c r="N10" s="31"/>
    </row>
    <row r="11" customFormat="false" ht="21.75" hidden="false" customHeight="true" outlineLevel="0" collapsed="false">
      <c r="A11" s="26" t="s">
        <v>58</v>
      </c>
      <c r="B11" s="27" t="s">
        <v>53</v>
      </c>
      <c r="C11" s="27" t="s">
        <v>59</v>
      </c>
      <c r="D11" s="27" t="s">
        <v>28</v>
      </c>
      <c r="E11" s="28" t="str">
        <f aca="false">IFERROR(INDEX(MODELAGENS!$C$5:$C$6,MATCH($C11,MODELAGENS!$A$5:$A$6,0)),"")</f>
        <v>Ribana canelada</v>
      </c>
      <c r="F11" s="29" t="n">
        <v>0</v>
      </c>
      <c r="G11" s="29" t="n">
        <v>0</v>
      </c>
      <c r="H11" s="12" t="n">
        <f aca="false">MAX(0,F11-G11)</f>
        <v>0</v>
      </c>
      <c r="I11" s="13" t="n">
        <f aca="false">IFERROR(G11/F11,0)</f>
        <v>0</v>
      </c>
      <c r="J11" s="16" t="str">
        <f aca="false">IF(F11=0,"SEM PLANO",IF(G11=0,"PENDENTE",IF(G11&lt;F11,"EM CORTE",IF(G11=F11,"CORTADO","EXCEDENTE"))))</f>
        <v>SEM PLANO</v>
      </c>
      <c r="K11" s="14" t="n">
        <f aca="false">IFERROR(F11/INDEX(MALHAS!$E$5:$E$6,MATCH($B11,MALHAS!$A$5:$A$6,0)),0)</f>
        <v>0</v>
      </c>
      <c r="L11" s="30"/>
      <c r="M11" s="27"/>
      <c r="N11" s="31"/>
    </row>
    <row r="12" customFormat="false" ht="21.75" hidden="false" customHeight="true" outlineLevel="0" collapsed="false">
      <c r="A12" s="26" t="s">
        <v>60</v>
      </c>
      <c r="B12" s="27" t="s">
        <v>53</v>
      </c>
      <c r="C12" s="27" t="s">
        <v>59</v>
      </c>
      <c r="D12" s="27" t="s">
        <v>29</v>
      </c>
      <c r="E12" s="28" t="str">
        <f aca="false">IFERROR(INDEX(MODELAGENS!$C$5:$C$6,MATCH($C12,MODELAGENS!$A$5:$A$6,0)),"")</f>
        <v>Ribana canelada</v>
      </c>
      <c r="F12" s="29" t="n">
        <v>0</v>
      </c>
      <c r="G12" s="29" t="n">
        <v>0</v>
      </c>
      <c r="H12" s="12" t="n">
        <f aca="false">MAX(0,F12-G12)</f>
        <v>0</v>
      </c>
      <c r="I12" s="13" t="n">
        <f aca="false">IFERROR(G12/F12,0)</f>
        <v>0</v>
      </c>
      <c r="J12" s="16" t="str">
        <f aca="false">IF(F12=0,"SEM PLANO",IF(G12=0,"PENDENTE",IF(G12&lt;F12,"EM CORTE",IF(G12=F12,"CORTADO","EXCEDENTE"))))</f>
        <v>SEM PLANO</v>
      </c>
      <c r="K12" s="14" t="n">
        <f aca="false">IFERROR(F12/INDEX(MALHAS!$E$5:$E$6,MATCH($B12,MALHAS!$A$5:$A$6,0)),0)</f>
        <v>0</v>
      </c>
      <c r="L12" s="30"/>
      <c r="M12" s="27"/>
      <c r="N12" s="31"/>
    </row>
    <row r="13" customFormat="false" ht="21.75" hidden="false" customHeight="true" outlineLevel="0" collapsed="false">
      <c r="A13" s="26" t="s">
        <v>61</v>
      </c>
      <c r="B13" s="27" t="s">
        <v>53</v>
      </c>
      <c r="C13" s="27" t="s">
        <v>59</v>
      </c>
      <c r="D13" s="27" t="s">
        <v>30</v>
      </c>
      <c r="E13" s="28" t="str">
        <f aca="false">IFERROR(INDEX(MODELAGENS!$C$5:$C$6,MATCH($C13,MODELAGENS!$A$5:$A$6,0)),"")</f>
        <v>Ribana canelada</v>
      </c>
      <c r="F13" s="29" t="n">
        <v>10</v>
      </c>
      <c r="G13" s="29" t="n">
        <v>0</v>
      </c>
      <c r="H13" s="12" t="n">
        <f aca="false">MAX(0,F13-G13)</f>
        <v>10</v>
      </c>
      <c r="I13" s="13" t="n">
        <f aca="false">IFERROR(G13/F13,0)</f>
        <v>0</v>
      </c>
      <c r="J13" s="16" t="str">
        <f aca="false">IF(F13=0,"SEM PLANO",IF(G13=0,"PENDENTE",IF(G13&lt;F13,"EM CORTE",IF(G13=F13,"CORTADO","EXCEDENTE"))))</f>
        <v>PENDENTE</v>
      </c>
      <c r="K13" s="14" t="n">
        <f aca="false">IFERROR(F13/INDEX(MALHAS!$E$5:$E$6,MATCH($B13,MALHAS!$A$5:$A$6,0)),0)</f>
        <v>2</v>
      </c>
      <c r="L13" s="30"/>
      <c r="M13" s="27"/>
      <c r="N13" s="31"/>
    </row>
    <row r="14" customFormat="false" ht="21.75" hidden="false" customHeight="true" outlineLevel="0" collapsed="false">
      <c r="A14" s="26" t="s">
        <v>62</v>
      </c>
      <c r="B14" s="27" t="s">
        <v>53</v>
      </c>
      <c r="C14" s="27" t="s">
        <v>59</v>
      </c>
      <c r="D14" s="27" t="s">
        <v>32</v>
      </c>
      <c r="E14" s="28" t="str">
        <f aca="false">IFERROR(INDEX(MODELAGENS!$C$5:$C$6,MATCH($C14,MODELAGENS!$A$5:$A$6,0)),"")</f>
        <v>Ribana canelada</v>
      </c>
      <c r="F14" s="29" t="n">
        <v>0</v>
      </c>
      <c r="G14" s="29" t="n">
        <v>0</v>
      </c>
      <c r="H14" s="12" t="n">
        <f aca="false">MAX(0,F14-G14)</f>
        <v>0</v>
      </c>
      <c r="I14" s="13" t="n">
        <f aca="false">IFERROR(G14/F14,0)</f>
        <v>0</v>
      </c>
      <c r="J14" s="16" t="str">
        <f aca="false">IF(F14=0,"SEM PLANO",IF(G14=0,"PENDENTE",IF(G14&lt;F14,"EM CORTE",IF(G14=F14,"CORTADO","EXCEDENTE"))))</f>
        <v>SEM PLANO</v>
      </c>
      <c r="K14" s="14" t="n">
        <f aca="false">IFERROR(F14/INDEX(MALHAS!$E$5:$E$6,MATCH($B14,MALHAS!$A$5:$A$6,0)),0)</f>
        <v>0</v>
      </c>
      <c r="L14" s="30"/>
      <c r="M14" s="27"/>
      <c r="N14" s="31"/>
    </row>
    <row r="15" customFormat="false" ht="21.75" hidden="false" customHeight="true" outlineLevel="0" collapsed="false">
      <c r="A15" s="26" t="s">
        <v>63</v>
      </c>
      <c r="B15" s="27" t="s">
        <v>64</v>
      </c>
      <c r="C15" s="27" t="s">
        <v>54</v>
      </c>
      <c r="D15" s="27" t="s">
        <v>28</v>
      </c>
      <c r="E15" s="28" t="str">
        <f aca="false">IFERROR(INDEX(MODELAGENS!$C$5:$C$6,MATCH($C15,MODELAGENS!$A$5:$A$6,0)),"")</f>
        <v>Gola da própria malha</v>
      </c>
      <c r="F15" s="29" t="n">
        <v>0</v>
      </c>
      <c r="G15" s="29" t="n">
        <v>0</v>
      </c>
      <c r="H15" s="12" t="n">
        <f aca="false">MAX(0,F15-G15)</f>
        <v>0</v>
      </c>
      <c r="I15" s="13" t="n">
        <f aca="false">IFERROR(G15/F15,0)</f>
        <v>0</v>
      </c>
      <c r="J15" s="16" t="str">
        <f aca="false">IF(F15=0,"SEM PLANO",IF(G15=0,"PENDENTE",IF(G15&lt;F15,"EM CORTE",IF(G15=F15,"CORTADO","EXCEDENTE"))))</f>
        <v>SEM PLANO</v>
      </c>
      <c r="K15" s="14" t="n">
        <f aca="false">IFERROR(F15/INDEX(MALHAS!$E$5:$E$6,MATCH($B15,MALHAS!$A$5:$A$6,0)),0)</f>
        <v>0</v>
      </c>
      <c r="L15" s="30"/>
      <c r="M15" s="27"/>
      <c r="N15" s="31"/>
    </row>
    <row r="16" customFormat="false" ht="21.75" hidden="false" customHeight="true" outlineLevel="0" collapsed="false">
      <c r="A16" s="26" t="s">
        <v>65</v>
      </c>
      <c r="B16" s="27" t="s">
        <v>64</v>
      </c>
      <c r="C16" s="27" t="s">
        <v>54</v>
      </c>
      <c r="D16" s="27" t="s">
        <v>29</v>
      </c>
      <c r="E16" s="28" t="str">
        <f aca="false">IFERROR(INDEX(MODELAGENS!$C$5:$C$6,MATCH($C16,MODELAGENS!$A$5:$A$6,0)),"")</f>
        <v>Gola da própria malha</v>
      </c>
      <c r="F16" s="29" t="n">
        <v>0</v>
      </c>
      <c r="G16" s="29" t="n">
        <v>0</v>
      </c>
      <c r="H16" s="12" t="n">
        <f aca="false">MAX(0,F16-G16)</f>
        <v>0</v>
      </c>
      <c r="I16" s="13" t="n">
        <f aca="false">IFERROR(G16/F16,0)</f>
        <v>0</v>
      </c>
      <c r="J16" s="16" t="str">
        <f aca="false">IF(F16=0,"SEM PLANO",IF(G16=0,"PENDENTE",IF(G16&lt;F16,"EM CORTE",IF(G16=F16,"CORTADO","EXCEDENTE"))))</f>
        <v>SEM PLANO</v>
      </c>
      <c r="K16" s="14" t="n">
        <f aca="false">IFERROR(F16/INDEX(MALHAS!$E$5:$E$6,MATCH($B16,MALHAS!$A$5:$A$6,0)),0)</f>
        <v>0</v>
      </c>
      <c r="L16" s="30"/>
      <c r="M16" s="27"/>
      <c r="N16" s="31"/>
    </row>
    <row r="17" customFormat="false" ht="21.75" hidden="false" customHeight="true" outlineLevel="0" collapsed="false">
      <c r="A17" s="26" t="s">
        <v>66</v>
      </c>
      <c r="B17" s="27" t="s">
        <v>64</v>
      </c>
      <c r="C17" s="27" t="s">
        <v>54</v>
      </c>
      <c r="D17" s="27" t="s">
        <v>30</v>
      </c>
      <c r="E17" s="28" t="str">
        <f aca="false">IFERROR(INDEX(MODELAGENS!$C$5:$C$6,MATCH($C17,MODELAGENS!$A$5:$A$6,0)),"")</f>
        <v>Gola da própria malha</v>
      </c>
      <c r="F17" s="29" t="n">
        <v>5</v>
      </c>
      <c r="G17" s="29" t="n">
        <v>0</v>
      </c>
      <c r="H17" s="12" t="n">
        <f aca="false">MAX(0,F17-G17)</f>
        <v>5</v>
      </c>
      <c r="I17" s="13" t="n">
        <f aca="false">IFERROR(G17/F17,0)</f>
        <v>0</v>
      </c>
      <c r="J17" s="16" t="str">
        <f aca="false">IF(F17=0,"SEM PLANO",IF(G17=0,"PENDENTE",IF(G17&lt;F17,"EM CORTE",IF(G17=F17,"CORTADO","EXCEDENTE"))))</f>
        <v>PENDENTE</v>
      </c>
      <c r="K17" s="14" t="n">
        <f aca="false">IFERROR(F17/INDEX(MALHAS!$E$5:$E$6,MATCH($B17,MALHAS!$A$5:$A$6,0)),0)</f>
        <v>1.11111111111111</v>
      </c>
      <c r="L17" s="30"/>
      <c r="M17" s="27"/>
      <c r="N17" s="31"/>
    </row>
    <row r="18" customFormat="false" ht="21.75" hidden="false" customHeight="true" outlineLevel="0" collapsed="false">
      <c r="A18" s="26" t="s">
        <v>67</v>
      </c>
      <c r="B18" s="27" t="s">
        <v>64</v>
      </c>
      <c r="C18" s="27" t="s">
        <v>54</v>
      </c>
      <c r="D18" s="27" t="s">
        <v>32</v>
      </c>
      <c r="E18" s="28" t="str">
        <f aca="false">IFERROR(INDEX(MODELAGENS!$C$5:$C$6,MATCH($C18,MODELAGENS!$A$5:$A$6,0)),"")</f>
        <v>Gola da própria malha</v>
      </c>
      <c r="F18" s="29" t="n">
        <v>5</v>
      </c>
      <c r="G18" s="29" t="n">
        <v>0</v>
      </c>
      <c r="H18" s="12" t="n">
        <f aca="false">MAX(0,F18-G18)</f>
        <v>5</v>
      </c>
      <c r="I18" s="13" t="n">
        <f aca="false">IFERROR(G18/F18,0)</f>
        <v>0</v>
      </c>
      <c r="J18" s="16" t="str">
        <f aca="false">IF(F18=0,"SEM PLANO",IF(G18=0,"PENDENTE",IF(G18&lt;F18,"EM CORTE",IF(G18=F18,"CORTADO","EXCEDENTE"))))</f>
        <v>PENDENTE</v>
      </c>
      <c r="K18" s="14" t="n">
        <f aca="false">IFERROR(F18/INDEX(MALHAS!$E$5:$E$6,MATCH($B18,MALHAS!$A$5:$A$6,0)),0)</f>
        <v>1.11111111111111</v>
      </c>
      <c r="L18" s="30"/>
      <c r="M18" s="27"/>
      <c r="N18" s="31"/>
    </row>
    <row r="19" customFormat="false" ht="21.75" hidden="false" customHeight="true" outlineLevel="0" collapsed="false">
      <c r="A19" s="26" t="s">
        <v>68</v>
      </c>
      <c r="B19" s="27" t="s">
        <v>64</v>
      </c>
      <c r="C19" s="27" t="s">
        <v>59</v>
      </c>
      <c r="D19" s="27" t="s">
        <v>28</v>
      </c>
      <c r="E19" s="28" t="str">
        <f aca="false">IFERROR(INDEX(MODELAGENS!$C$5:$C$6,MATCH($C19,MODELAGENS!$A$5:$A$6,0)),"")</f>
        <v>Ribana canelada</v>
      </c>
      <c r="F19" s="29" t="n">
        <v>10</v>
      </c>
      <c r="G19" s="29" t="n">
        <v>0</v>
      </c>
      <c r="H19" s="12" t="n">
        <f aca="false">MAX(0,F19-G19)</f>
        <v>10</v>
      </c>
      <c r="I19" s="13" t="n">
        <f aca="false">IFERROR(G19/F19,0)</f>
        <v>0</v>
      </c>
      <c r="J19" s="16" t="str">
        <f aca="false">IF(F19=0,"SEM PLANO",IF(G19=0,"PENDENTE",IF(G19&lt;F19,"EM CORTE",IF(G19=F19,"CORTADO","EXCEDENTE"))))</f>
        <v>PENDENTE</v>
      </c>
      <c r="K19" s="14" t="n">
        <f aca="false">IFERROR(F19/INDEX(MALHAS!$E$5:$E$6,MATCH($B19,MALHAS!$A$5:$A$6,0)),0)</f>
        <v>2.22222222222222</v>
      </c>
      <c r="L19" s="30"/>
      <c r="M19" s="27"/>
      <c r="N19" s="31"/>
    </row>
    <row r="20" customFormat="false" ht="21.75" hidden="false" customHeight="true" outlineLevel="0" collapsed="false">
      <c r="A20" s="26" t="s">
        <v>69</v>
      </c>
      <c r="B20" s="27" t="s">
        <v>64</v>
      </c>
      <c r="C20" s="27" t="s">
        <v>59</v>
      </c>
      <c r="D20" s="27" t="s">
        <v>29</v>
      </c>
      <c r="E20" s="28" t="str">
        <f aca="false">IFERROR(INDEX(MODELAGENS!$C$5:$C$6,MATCH($C20,MODELAGENS!$A$5:$A$6,0)),"")</f>
        <v>Ribana canelada</v>
      </c>
      <c r="F20" s="29" t="n">
        <v>20</v>
      </c>
      <c r="G20" s="29" t="n">
        <v>0</v>
      </c>
      <c r="H20" s="12" t="n">
        <f aca="false">MAX(0,F20-G20)</f>
        <v>20</v>
      </c>
      <c r="I20" s="13" t="n">
        <f aca="false">IFERROR(G20/F20,0)</f>
        <v>0</v>
      </c>
      <c r="J20" s="16" t="str">
        <f aca="false">IF(F20=0,"SEM PLANO",IF(G20=0,"PENDENTE",IF(G20&lt;F20,"EM CORTE",IF(G20=F20,"CORTADO","EXCEDENTE"))))</f>
        <v>PENDENTE</v>
      </c>
      <c r="K20" s="14" t="n">
        <f aca="false">IFERROR(F20/INDEX(MALHAS!$E$5:$E$6,MATCH($B20,MALHAS!$A$5:$A$6,0)),0)</f>
        <v>4.44444444444445</v>
      </c>
      <c r="L20" s="30"/>
      <c r="M20" s="27"/>
      <c r="N20" s="31"/>
    </row>
    <row r="21" customFormat="false" ht="21.75" hidden="false" customHeight="true" outlineLevel="0" collapsed="false">
      <c r="A21" s="26" t="s">
        <v>70</v>
      </c>
      <c r="B21" s="27" t="s">
        <v>64</v>
      </c>
      <c r="C21" s="27" t="s">
        <v>59</v>
      </c>
      <c r="D21" s="27" t="s">
        <v>30</v>
      </c>
      <c r="E21" s="28" t="str">
        <f aca="false">IFERROR(INDEX(MODELAGENS!$C$5:$C$6,MATCH($C21,MODELAGENS!$A$5:$A$6,0)),"")</f>
        <v>Ribana canelada</v>
      </c>
      <c r="F21" s="29" t="n">
        <v>20</v>
      </c>
      <c r="G21" s="29" t="n">
        <v>0</v>
      </c>
      <c r="H21" s="12" t="n">
        <f aca="false">MAX(0,F21-G21)</f>
        <v>20</v>
      </c>
      <c r="I21" s="13" t="n">
        <f aca="false">IFERROR(G21/F21,0)</f>
        <v>0</v>
      </c>
      <c r="J21" s="16" t="str">
        <f aca="false">IF(F21=0,"SEM PLANO",IF(G21=0,"PENDENTE",IF(G21&lt;F21,"EM CORTE",IF(G21=F21,"CORTADO","EXCEDENTE"))))</f>
        <v>PENDENTE</v>
      </c>
      <c r="K21" s="14" t="n">
        <f aca="false">IFERROR(F21/INDEX(MALHAS!$E$5:$E$6,MATCH($B21,MALHAS!$A$5:$A$6,0)),0)</f>
        <v>4.44444444444445</v>
      </c>
      <c r="L21" s="30"/>
      <c r="M21" s="27"/>
      <c r="N21" s="31"/>
    </row>
    <row r="22" customFormat="false" ht="21.75" hidden="false" customHeight="true" outlineLevel="0" collapsed="false">
      <c r="A22" s="26" t="s">
        <v>71</v>
      </c>
      <c r="B22" s="27" t="s">
        <v>64</v>
      </c>
      <c r="C22" s="27" t="s">
        <v>59</v>
      </c>
      <c r="D22" s="27" t="s">
        <v>32</v>
      </c>
      <c r="E22" s="28" t="str">
        <f aca="false">IFERROR(INDEX(MODELAGENS!$C$5:$C$6,MATCH($C22,MODELAGENS!$A$5:$A$6,0)),"")</f>
        <v>Ribana canelada</v>
      </c>
      <c r="F22" s="29" t="n">
        <v>20</v>
      </c>
      <c r="G22" s="29" t="n">
        <v>0</v>
      </c>
      <c r="H22" s="12" t="n">
        <f aca="false">MAX(0,F22-G22)</f>
        <v>20</v>
      </c>
      <c r="I22" s="13" t="n">
        <f aca="false">IFERROR(G22/F22,0)</f>
        <v>0</v>
      </c>
      <c r="J22" s="16" t="str">
        <f aca="false">IF(F22=0,"SEM PLANO",IF(G22=0,"PENDENTE",IF(G22&lt;F22,"EM CORTE",IF(G22=F22,"CORTADO","EXCEDENTE"))))</f>
        <v>PENDENTE</v>
      </c>
      <c r="K22" s="14" t="n">
        <f aca="false">IFERROR(F22/INDEX(MALHAS!$E$5:$E$6,MATCH($B22,MALHAS!$A$5:$A$6,0)),0)</f>
        <v>4.44444444444445</v>
      </c>
      <c r="L22" s="30"/>
      <c r="M22" s="27"/>
      <c r="N22" s="31"/>
    </row>
    <row r="23" customFormat="false" ht="25.5" hidden="false" customHeight="true" outlineLevel="0" collapsed="false">
      <c r="A23" s="9" t="s">
        <v>72</v>
      </c>
      <c r="B23" s="9"/>
      <c r="C23" s="9"/>
      <c r="D23" s="9"/>
      <c r="E23" s="9"/>
      <c r="F23" s="32" t="n">
        <f aca="false">SUM(F7:F22)</f>
        <v>140</v>
      </c>
      <c r="G23" s="32" t="n">
        <f aca="false">SUM(G7:G22)</f>
        <v>0</v>
      </c>
      <c r="H23" s="32" t="n">
        <f aca="false">SUM(H7:H22)</f>
        <v>140</v>
      </c>
      <c r="I23" s="33" t="n">
        <f aca="false">IFERROR(G23/F23,0)</f>
        <v>0</v>
      </c>
      <c r="J23" s="34"/>
      <c r="K23" s="35" t="n">
        <f aca="false">SUM(K7:K22)</f>
        <v>29.7777777777778</v>
      </c>
      <c r="L23" s="34" t="str">
        <f aca="false">COUNTIF(J7:J22,"CORTADO")&amp;" de "&amp;COUNTIF(J7:J22,"&lt;&gt;SEM PLANO")&amp;" grades ok"</f>
        <v>0 de 11 grades ok</v>
      </c>
      <c r="M23" s="34"/>
      <c r="N23" s="34"/>
    </row>
  </sheetData>
  <autoFilter ref="A6:N22"/>
  <mergeCells count="9">
    <mergeCell ref="A1:N1"/>
    <mergeCell ref="A2:K2"/>
    <mergeCell ref="L2:M2"/>
    <mergeCell ref="A3:B3"/>
    <mergeCell ref="D3:E3"/>
    <mergeCell ref="G3:H3"/>
    <mergeCell ref="J3:K3"/>
    <mergeCell ref="A23:E23"/>
    <mergeCell ref="L23:N23"/>
  </mergeCells>
  <conditionalFormatting sqref="J7:J22">
    <cfRule type="cellIs" priority="2" operator="equal" aboveAverage="0" equalAverage="0" bottom="0" percent="0" rank="0" text="" dxfId="0">
      <formula>"CORTADO"</formula>
    </cfRule>
    <cfRule type="cellIs" priority="3" operator="equal" aboveAverage="0" equalAverage="0" bottom="0" percent="0" rank="0" text="" dxfId="1">
      <formula>"EM CORTE"</formula>
    </cfRule>
    <cfRule type="cellIs" priority="4" operator="equal" aboveAverage="0" equalAverage="0" bottom="0" percent="0" rank="0" text="" dxfId="2">
      <formula>"PENDENTE"</formula>
    </cfRule>
    <cfRule type="cellIs" priority="5" operator="equal" aboveAverage="0" equalAverage="0" bottom="0" percent="0" rank="0" text="" dxfId="3">
      <formula>"SEM PLANO"</formula>
    </cfRule>
    <cfRule type="cellIs" priority="6" operator="equal" aboveAverage="0" equalAverage="0" bottom="0" percent="0" rank="0" text="" dxfId="17">
      <formula>"EXCEDENTE"</formula>
    </cfRule>
  </conditionalFormatting>
  <conditionalFormatting sqref="I7:I22">
    <cfRule type="dataBar" priority="7">
      <dataBar showValue="1" minLength="10" maxLength="90">
        <cfvo type="num" val="0"/>
        <cfvo type="num" val="1"/>
        <color rgb="FF555C3A"/>
      </dataBar>
      <extLst>
        <ext xmlns:x14="http://schemas.microsoft.com/office/spreadsheetml/2009/9/main" uri="{B025F937-C7B1-47D3-B67F-A62EFF666E3E}">
          <x14:id>{D4CD8151-BB20-48A6-8A2A-424066CA1BC2}</x14:id>
        </ext>
      </extLst>
    </cfRule>
  </conditionalFormatting>
  <conditionalFormatting sqref="A7:N22">
    <cfRule type="expression" priority="8" aboveAverage="0" equalAverage="0" bottom="0" percent="0" rank="0" text="" dxfId="18">
      <formula>$F7=0</formula>
    </cfRule>
  </conditionalFormatting>
  <dataValidations count="5">
    <dataValidation allowBlank="true" errorStyle="stop" operator="between" prompt="M1 = Algodão Pima Preta · M2 = Peruana Off White" promptTitle="Malha" showDropDown="false" showErrorMessage="false" showInputMessage="false" sqref="B7:B22" type="list">
      <formula1>"M1,M2"</formula1>
      <formula2>0</formula2>
    </dataValidation>
    <dataValidation allowBlank="true" errorStyle="stop" operator="between" showDropDown="false" showErrorMessage="false" showInputMessage="false" sqref="C7:C22" type="list">
      <formula1>"Axozee Slim,Axozee Over"</formula1>
      <formula2>0</formula2>
    </dataValidation>
    <dataValidation allowBlank="true" errorStyle="stop" operator="between" showDropDown="false" showErrorMessage="false" showInputMessage="false" sqref="D7:D22" type="list">
      <formula1>"P,M,G,GG"</formula1>
      <formula2>0</formula2>
    </dataValidation>
    <dataValidation allowBlank="true" errorStyle="stop" operator="between" showDropDown="false" showErrorMessage="false" showInputMessage="false" sqref="M7:M22" type="list">
      <formula1>"Jhonatan,Corte - turno 1,Corte - turno 2,Terceiro"</formula1>
      <formula2>0</formula2>
    </dataValidation>
    <dataValidation allowBlank="true" error="Digite um número inteiro igual ou maior que zero." errorStyle="stop" errorTitle="Quantidade inválida" operator="greaterThanOrEqual" showDropDown="false" showErrorMessage="false" showInputMessage="false" sqref="F7:G22" type="whole">
      <formula1>0</formula1>
      <formula2>0</formula2>
    </dataValidation>
  </dataValidations>
  <printOptions headings="false" gridLines="false" gridLinesSet="true" horizontalCentered="true" verticalCentered="false"/>
  <pageMargins left="0.3" right="0.3" top="1" bottom="1" header="0.511811023622047" footer="0.5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&amp;LAXOZEE · Plano de Corte · Cápsula 01&amp;CImpresso em &amp;D&amp;RPágina &amp;P de &amp;N</oddFooter>
  </headerFooter>
  <drawing r:id="rId2"/>
  <legacyDrawing r:id="rId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4CD8151-BB20-48A6-8A2A-424066CA1BC2}">
            <x14:dataBar minLength="10" maxLength="90" axisPosition="none" gradient="true">
              <x14:cfvo type="num">
                <xm:f>0</xm:f>
              </x14:cfvo>
              <x14:cfvo type="num">
                <xm:f>1</xm:f>
              </x14:cfvo>
              <x14:negativeFillColor rgb="FF555C3A"/>
              <x14:axisColor rgb="FF000000"/>
            </x14:dataBar>
          </x14:cfRule>
          <xm:sqref>I7:I22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D36"/>
    <pageSetUpPr fitToPage="true"/>
  </sheetPr>
  <dimension ref="A1:M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4" min="3" style="0" width="12"/>
    <col collapsed="false" customWidth="true" hidden="false" outlineLevel="0" max="5" min="5" style="0" width="14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13"/>
    <col collapsed="false" customWidth="true" hidden="false" outlineLevel="0" max="9" min="9" style="0" width="11"/>
    <col collapsed="false" customWidth="true" hidden="false" outlineLevel="0" max="11" min="10" style="0" width="13"/>
    <col collapsed="false" customWidth="true" hidden="false" outlineLevel="0" max="12" min="12" style="0" width="12"/>
    <col collapsed="false" customWidth="true" hidden="false" outlineLevel="0" max="13" min="13" style="0" width="13"/>
  </cols>
  <sheetData>
    <row r="1" customFormat="false" ht="33.75" hidden="false" customHeight="true" outlineLevel="0" collapsed="false">
      <c r="A1" s="1" t="s">
        <v>73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customFormat="false" ht="18" hidden="false" customHeight="true" outlineLevel="0" collapsed="false">
      <c r="A2" s="2" t="s">
        <v>74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</row>
    <row r="4" customFormat="false" ht="31.5" hidden="false" customHeight="true" outlineLevel="0" collapsed="false">
      <c r="A4" s="10" t="s">
        <v>75</v>
      </c>
      <c r="B4" s="10" t="s">
        <v>12</v>
      </c>
      <c r="C4" s="10" t="s">
        <v>76</v>
      </c>
      <c r="D4" s="10" t="s">
        <v>77</v>
      </c>
      <c r="E4" s="10" t="s">
        <v>78</v>
      </c>
      <c r="F4" s="10" t="s">
        <v>79</v>
      </c>
      <c r="G4" s="10" t="s">
        <v>80</v>
      </c>
      <c r="H4" s="10" t="s">
        <v>81</v>
      </c>
      <c r="I4" s="10" t="s">
        <v>82</v>
      </c>
      <c r="J4" s="10" t="s">
        <v>83</v>
      </c>
      <c r="K4" s="10" t="s">
        <v>84</v>
      </c>
      <c r="L4" s="10" t="s">
        <v>85</v>
      </c>
      <c r="M4" s="10" t="s">
        <v>86</v>
      </c>
    </row>
    <row r="5" customFormat="false" ht="24" hidden="false" customHeight="true" outlineLevel="0" collapsed="false">
      <c r="A5" s="36" t="s">
        <v>53</v>
      </c>
      <c r="B5" s="37" t="s">
        <v>87</v>
      </c>
      <c r="C5" s="37" t="s">
        <v>88</v>
      </c>
      <c r="D5" s="38" t="n">
        <v>12</v>
      </c>
      <c r="E5" s="38" t="n">
        <v>5</v>
      </c>
      <c r="F5" s="39" t="n">
        <f aca="false">D5*E5</f>
        <v>60</v>
      </c>
      <c r="G5" s="39" t="n">
        <f aca="false">SUMIFS('PLANO DE CORTE'!$F$7:$F$22,'PLANO DE CORTE'!$B$7:$B$22,$A5)</f>
        <v>60</v>
      </c>
      <c r="H5" s="39" t="n">
        <f aca="false">IFERROR(G5/E5,0)</f>
        <v>12</v>
      </c>
      <c r="I5" s="39" t="n">
        <f aca="false">SUMIFS('PLANO DE CORTE'!$G$7:$G$22,'PLANO DE CORTE'!$B$7:$B$22,$A5)</f>
        <v>0</v>
      </c>
      <c r="J5" s="40"/>
      <c r="K5" s="41" t="n">
        <f aca="false">IFERROR(I5/J5,0)</f>
        <v>0</v>
      </c>
      <c r="L5" s="42" t="str">
        <f aca="false">IF(J5=0,"—",IFERROR(K5/E5-1,0))</f>
        <v>—</v>
      </c>
      <c r="M5" s="14" t="n">
        <f aca="false">D5-IF(J5=0,H5,J5)</f>
        <v>0</v>
      </c>
    </row>
    <row r="6" customFormat="false" ht="24" hidden="false" customHeight="true" outlineLevel="0" collapsed="false">
      <c r="A6" s="36" t="s">
        <v>64</v>
      </c>
      <c r="B6" s="37" t="s">
        <v>89</v>
      </c>
      <c r="C6" s="37" t="s">
        <v>90</v>
      </c>
      <c r="D6" s="38" t="n">
        <v>18</v>
      </c>
      <c r="E6" s="38" t="n">
        <v>4.5</v>
      </c>
      <c r="F6" s="39" t="n">
        <f aca="false">D6*E6</f>
        <v>81</v>
      </c>
      <c r="G6" s="39" t="n">
        <f aca="false">SUMIFS('PLANO DE CORTE'!$F$7:$F$22,'PLANO DE CORTE'!$B$7:$B$22,$A6)</f>
        <v>80</v>
      </c>
      <c r="H6" s="39" t="n">
        <f aca="false">IFERROR(G6/E6,0)</f>
        <v>17.7777777777778</v>
      </c>
      <c r="I6" s="39" t="n">
        <f aca="false">SUMIFS('PLANO DE CORTE'!$G$7:$G$22,'PLANO DE CORTE'!$B$7:$B$22,$A6)</f>
        <v>0</v>
      </c>
      <c r="J6" s="40"/>
      <c r="K6" s="41" t="n">
        <f aca="false">IFERROR(I6/J6,0)</f>
        <v>0</v>
      </c>
      <c r="L6" s="42" t="str">
        <f aca="false">IF(J6=0,"—",IFERROR(K6/E6-1,0))</f>
        <v>—</v>
      </c>
      <c r="M6" s="14" t="n">
        <f aca="false">D6-IF(J6=0,H6,J6)</f>
        <v>0.222222222222221</v>
      </c>
    </row>
    <row r="7" customFormat="false" ht="15" hidden="false" customHeight="false" outlineLevel="0" collapsed="false">
      <c r="A7" s="43" t="s">
        <v>72</v>
      </c>
      <c r="B7" s="43"/>
      <c r="C7" s="43"/>
      <c r="D7" s="44" t="n">
        <f aca="false">SUM(D5:D6)</f>
        <v>30</v>
      </c>
      <c r="E7" s="44"/>
      <c r="F7" s="44" t="n">
        <f aca="false">SUM(F5:F6)</f>
        <v>141</v>
      </c>
      <c r="G7" s="44" t="n">
        <f aca="false">SUM(G5:G6)</f>
        <v>140</v>
      </c>
      <c r="H7" s="44" t="n">
        <f aca="false">SUM(H5:H6)</f>
        <v>29.7777777777778</v>
      </c>
      <c r="I7" s="44" t="n">
        <f aca="false">SUM(I5:I6)</f>
        <v>0</v>
      </c>
      <c r="J7" s="44" t="n">
        <f aca="false">SUM(J5:J6)</f>
        <v>0</v>
      </c>
      <c r="K7" s="44" t="n">
        <f aca="false">IFERROR(I7/J7,0)</f>
        <v>0</v>
      </c>
      <c r="L7" s="44"/>
      <c r="M7" s="44" t="n">
        <f aca="false">SUM(M5:M6)</f>
        <v>0.222222222222221</v>
      </c>
    </row>
    <row r="9" customFormat="false" ht="30" hidden="false" customHeight="true" outlineLevel="0" collapsed="false">
      <c r="A9" s="18" t="s">
        <v>91</v>
      </c>
      <c r="B9" s="18"/>
      <c r="C9" s="18"/>
      <c r="D9" s="18"/>
      <c r="E9" s="18"/>
      <c r="F9" s="18"/>
      <c r="G9" s="18"/>
      <c r="H9" s="18"/>
      <c r="I9" s="18"/>
      <c r="J9" s="18"/>
      <c r="K9" s="18"/>
      <c r="L9" s="18"/>
      <c r="M9" s="18"/>
    </row>
  </sheetData>
  <mergeCells count="4">
    <mergeCell ref="A1:M1"/>
    <mergeCell ref="A2:M2"/>
    <mergeCell ref="A7:C7"/>
    <mergeCell ref="A9:M9"/>
  </mergeCells>
  <printOptions headings="false" gridLines="false" gridLinesSet="true" horizontalCentered="tru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D36"/>
    <pageSetUpPr fitToPage="true"/>
  </sheetPr>
  <dimension ref="A1:G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20"/>
    <col collapsed="false" customWidth="true" hidden="false" outlineLevel="0" max="4" min="4" style="0" width="52"/>
    <col collapsed="false" customWidth="true" hidden="false" outlineLevel="0" max="7" min="5" style="0" width="13"/>
  </cols>
  <sheetData>
    <row r="1" customFormat="false" ht="33.75" hidden="false" customHeight="true" outlineLevel="0" collapsed="false">
      <c r="A1" s="1" t="s">
        <v>92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93</v>
      </c>
      <c r="B2" s="2"/>
      <c r="C2" s="2"/>
      <c r="D2" s="2"/>
      <c r="E2" s="2"/>
      <c r="F2" s="2"/>
      <c r="G2" s="2"/>
    </row>
    <row r="4" customFormat="false" ht="31.5" hidden="false" customHeight="true" outlineLevel="0" collapsed="false">
      <c r="A4" s="10" t="s">
        <v>18</v>
      </c>
      <c r="B4" s="10" t="s">
        <v>94</v>
      </c>
      <c r="C4" s="10" t="s">
        <v>95</v>
      </c>
      <c r="D4" s="10" t="s">
        <v>96</v>
      </c>
      <c r="E4" s="10" t="s">
        <v>80</v>
      </c>
      <c r="F4" s="10" t="s">
        <v>82</v>
      </c>
      <c r="G4" s="10" t="s">
        <v>97</v>
      </c>
    </row>
    <row r="5" customFormat="false" ht="45.75" hidden="false" customHeight="true" outlineLevel="0" collapsed="false">
      <c r="A5" s="45" t="s">
        <v>54</v>
      </c>
      <c r="B5" s="15" t="s">
        <v>98</v>
      </c>
      <c r="C5" s="37" t="s">
        <v>99</v>
      </c>
      <c r="D5" s="46" t="s">
        <v>100</v>
      </c>
      <c r="E5" s="47" t="n">
        <f aca="false">SUMIFS('PLANO DE CORTE'!$F$7:$F$22,'PLANO DE CORTE'!$C$7:$C$22,$A5)</f>
        <v>60</v>
      </c>
      <c r="F5" s="47" t="n">
        <f aca="false">SUMIFS('PLANO DE CORTE'!$G$7:$G$22,'PLANO DE CORTE'!$C$7:$C$22,$A5)</f>
        <v>0</v>
      </c>
      <c r="G5" s="47" t="n">
        <f aca="false">IF($B5="SIM",E5,0)</f>
        <v>60</v>
      </c>
    </row>
    <row r="6" customFormat="false" ht="45.75" hidden="false" customHeight="true" outlineLevel="0" collapsed="false">
      <c r="A6" s="45" t="s">
        <v>59</v>
      </c>
      <c r="B6" s="15" t="s">
        <v>101</v>
      </c>
      <c r="C6" s="37" t="s">
        <v>102</v>
      </c>
      <c r="D6" s="46" t="s">
        <v>103</v>
      </c>
      <c r="E6" s="47" t="n">
        <f aca="false">SUMIFS('PLANO DE CORTE'!$F$7:$F$22,'PLANO DE CORTE'!$C$7:$C$22,$A6)</f>
        <v>80</v>
      </c>
      <c r="F6" s="47" t="n">
        <f aca="false">SUMIFS('PLANO DE CORTE'!$G$7:$G$22,'PLANO DE CORTE'!$C$7:$C$22,$A6)</f>
        <v>0</v>
      </c>
      <c r="G6" s="47" t="n">
        <f aca="false">IF($B6="SIM",E6,0)</f>
        <v>0</v>
      </c>
    </row>
    <row r="8" customFormat="false" ht="25.5" hidden="false" customHeight="true" outlineLevel="0" collapsed="false">
      <c r="A8" s="48" t="s">
        <v>104</v>
      </c>
      <c r="B8" s="48"/>
      <c r="C8" s="48"/>
      <c r="D8" s="48"/>
      <c r="E8" s="48"/>
      <c r="F8" s="48"/>
      <c r="G8" s="48"/>
    </row>
  </sheetData>
  <mergeCells count="3">
    <mergeCell ref="A1:G1"/>
    <mergeCell ref="A2:G2"/>
    <mergeCell ref="A8:G8"/>
  </mergeCells>
  <conditionalFormatting sqref="B5:B6">
    <cfRule type="cellIs" priority="2" operator="equal" aboveAverage="0" equalAverage="0" bottom="0" percent="0" rank="0" text="" dxfId="5">
      <formula>"SIM"</formula>
    </cfRule>
    <cfRule type="cellIs" priority="3" operator="equal" aboveAverage="0" equalAverage="0" bottom="0" percent="0" rank="0" text="" dxfId="19">
      <formula>"NÃO"</formula>
    </cfRule>
  </conditionalFormatting>
  <printOptions headings="false" gridLines="false" gridLinesSet="true" horizontalCentered="true" verticalCentered="false"/>
  <pageMargins left="0.3" right="0.3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45D36"/>
    <pageSetUpPr fitToPage="false"/>
  </sheetPr>
  <dimension ref="A1:F2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6" min="2" style="0" width="26"/>
  </cols>
  <sheetData>
    <row r="1" customFormat="false" ht="33.75" hidden="false" customHeight="true" outlineLevel="0" collapsed="false">
      <c r="A1" s="1" t="s">
        <v>105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106</v>
      </c>
      <c r="B2" s="2"/>
      <c r="C2" s="2"/>
      <c r="D2" s="2"/>
      <c r="E2" s="2"/>
      <c r="F2" s="2"/>
    </row>
    <row r="4" customFormat="false" ht="25.5" hidden="false" customHeight="true" outlineLevel="0" collapsed="false">
      <c r="B4" s="49" t="s">
        <v>107</v>
      </c>
      <c r="C4" s="49"/>
      <c r="D4" s="49"/>
      <c r="E4" s="49"/>
      <c r="F4" s="49"/>
    </row>
    <row r="5" customFormat="false" ht="30" hidden="false" customHeight="true" outlineLevel="0" collapsed="false">
      <c r="B5" s="50" t="s">
        <v>108</v>
      </c>
      <c r="C5" s="51" t="s">
        <v>109</v>
      </c>
      <c r="D5" s="51"/>
      <c r="E5" s="51"/>
      <c r="F5" s="51"/>
    </row>
    <row r="6" customFormat="false" ht="30" hidden="false" customHeight="true" outlineLevel="0" collapsed="false">
      <c r="B6" s="50" t="s">
        <v>110</v>
      </c>
      <c r="C6" s="51" t="s">
        <v>111</v>
      </c>
      <c r="D6" s="51"/>
      <c r="E6" s="51"/>
      <c r="F6" s="51"/>
    </row>
    <row r="7" customFormat="false" ht="30" hidden="false" customHeight="true" outlineLevel="0" collapsed="false">
      <c r="B7" s="50" t="s">
        <v>112</v>
      </c>
      <c r="C7" s="51" t="s">
        <v>113</v>
      </c>
      <c r="D7" s="51"/>
      <c r="E7" s="51"/>
      <c r="F7" s="51"/>
    </row>
    <row r="8" customFormat="false" ht="30" hidden="false" customHeight="true" outlineLevel="0" collapsed="false">
      <c r="B8" s="50" t="s">
        <v>114</v>
      </c>
      <c r="C8" s="51" t="s">
        <v>115</v>
      </c>
      <c r="D8" s="51"/>
      <c r="E8" s="51"/>
      <c r="F8" s="51"/>
    </row>
    <row r="9" customFormat="false" ht="25.5" hidden="false" customHeight="true" outlineLevel="0" collapsed="false">
      <c r="B9" s="49" t="s">
        <v>116</v>
      </c>
      <c r="C9" s="49"/>
      <c r="D9" s="49"/>
      <c r="E9" s="49"/>
      <c r="F9" s="49"/>
    </row>
    <row r="10" customFormat="false" ht="30" hidden="false" customHeight="true" outlineLevel="0" collapsed="false">
      <c r="B10" s="52" t="s">
        <v>117</v>
      </c>
      <c r="C10" s="51" t="s">
        <v>118</v>
      </c>
      <c r="D10" s="51"/>
      <c r="E10" s="51"/>
      <c r="F10" s="51"/>
    </row>
    <row r="11" customFormat="false" ht="30" hidden="false" customHeight="true" outlineLevel="0" collapsed="false">
      <c r="B11" s="53" t="s">
        <v>119</v>
      </c>
      <c r="C11" s="51" t="s">
        <v>120</v>
      </c>
      <c r="D11" s="51"/>
      <c r="E11" s="51"/>
      <c r="F11" s="51"/>
    </row>
    <row r="12" customFormat="false" ht="30" hidden="false" customHeight="true" outlineLevel="0" collapsed="false">
      <c r="B12" s="54" t="s">
        <v>121</v>
      </c>
      <c r="C12" s="51" t="s">
        <v>122</v>
      </c>
      <c r="D12" s="51"/>
      <c r="E12" s="51"/>
      <c r="F12" s="51"/>
    </row>
    <row r="13" customFormat="false" ht="25.5" hidden="false" customHeight="true" outlineLevel="0" collapsed="false">
      <c r="B13" s="49" t="s">
        <v>123</v>
      </c>
      <c r="C13" s="49"/>
      <c r="D13" s="49"/>
      <c r="E13" s="49"/>
      <c r="F13" s="49"/>
    </row>
    <row r="14" customFormat="false" ht="30" hidden="false" customHeight="true" outlineLevel="0" collapsed="false">
      <c r="B14" s="55" t="s">
        <v>37</v>
      </c>
      <c r="C14" s="51" t="s">
        <v>124</v>
      </c>
      <c r="D14" s="51"/>
      <c r="E14" s="51"/>
      <c r="F14" s="51"/>
    </row>
    <row r="15" customFormat="false" ht="30" hidden="false" customHeight="true" outlineLevel="0" collapsed="false">
      <c r="B15" s="56" t="s">
        <v>36</v>
      </c>
      <c r="C15" s="51" t="s">
        <v>125</v>
      </c>
      <c r="D15" s="51"/>
      <c r="E15" s="51"/>
      <c r="F15" s="51"/>
    </row>
    <row r="16" customFormat="false" ht="30" hidden="false" customHeight="true" outlineLevel="0" collapsed="false">
      <c r="B16" s="57" t="s">
        <v>35</v>
      </c>
      <c r="C16" s="51" t="s">
        <v>126</v>
      </c>
      <c r="D16" s="51"/>
      <c r="E16" s="51"/>
      <c r="F16" s="51"/>
    </row>
    <row r="17" customFormat="false" ht="30" hidden="false" customHeight="true" outlineLevel="0" collapsed="false">
      <c r="B17" s="58" t="s">
        <v>38</v>
      </c>
      <c r="C17" s="51" t="s">
        <v>127</v>
      </c>
      <c r="D17" s="51"/>
      <c r="E17" s="51"/>
      <c r="F17" s="51"/>
    </row>
    <row r="18" customFormat="false" ht="30" hidden="false" customHeight="true" outlineLevel="0" collapsed="false">
      <c r="B18" s="59" t="s">
        <v>128</v>
      </c>
      <c r="C18" s="51" t="s">
        <v>129</v>
      </c>
      <c r="D18" s="51"/>
      <c r="E18" s="51"/>
      <c r="F18" s="51"/>
    </row>
    <row r="19" customFormat="false" ht="25.5" hidden="false" customHeight="true" outlineLevel="0" collapsed="false">
      <c r="B19" s="49" t="s">
        <v>130</v>
      </c>
      <c r="C19" s="49"/>
      <c r="D19" s="49"/>
      <c r="E19" s="49"/>
      <c r="F19" s="49"/>
    </row>
    <row r="20" customFormat="false" ht="30" hidden="false" customHeight="true" outlineLevel="0" collapsed="false">
      <c r="B20" s="60" t="s">
        <v>131</v>
      </c>
      <c r="C20" s="51" t="s">
        <v>132</v>
      </c>
      <c r="D20" s="51"/>
      <c r="E20" s="51"/>
      <c r="F20" s="51"/>
    </row>
    <row r="21" customFormat="false" ht="30" hidden="false" customHeight="true" outlineLevel="0" collapsed="false">
      <c r="B21" s="60" t="s">
        <v>133</v>
      </c>
      <c r="C21" s="51" t="s">
        <v>134</v>
      </c>
      <c r="D21" s="51"/>
      <c r="E21" s="51"/>
      <c r="F21" s="51"/>
    </row>
    <row r="22" customFormat="false" ht="25.5" hidden="false" customHeight="true" outlineLevel="0" collapsed="false">
      <c r="B22" s="49" t="s">
        <v>135</v>
      </c>
      <c r="C22" s="49"/>
      <c r="D22" s="49"/>
      <c r="E22" s="49"/>
      <c r="F22" s="49"/>
    </row>
    <row r="23" customFormat="false" ht="30" hidden="false" customHeight="true" outlineLevel="0" collapsed="false">
      <c r="B23" s="50" t="s">
        <v>136</v>
      </c>
      <c r="C23" s="51" t="s">
        <v>137</v>
      </c>
      <c r="D23" s="51"/>
      <c r="E23" s="51"/>
      <c r="F23" s="51"/>
    </row>
    <row r="24" customFormat="false" ht="30" hidden="false" customHeight="true" outlineLevel="0" collapsed="false">
      <c r="B24" s="50" t="s">
        <v>138</v>
      </c>
      <c r="C24" s="51" t="s">
        <v>139</v>
      </c>
      <c r="D24" s="51"/>
      <c r="E24" s="51"/>
      <c r="F24" s="51"/>
    </row>
    <row r="26" customFormat="false" ht="15" hidden="false" customHeight="true" outlineLevel="0" collapsed="false">
      <c r="B26" s="18" t="s">
        <v>140</v>
      </c>
      <c r="C26" s="18"/>
      <c r="D26" s="18"/>
      <c r="E26" s="18"/>
      <c r="F26" s="18"/>
    </row>
    <row r="27" customFormat="false" ht="15" hidden="false" customHeight="false" outlineLevel="0" collapsed="false">
      <c r="B27" s="18"/>
      <c r="C27" s="18"/>
      <c r="D27" s="18"/>
      <c r="E27" s="18"/>
      <c r="F27" s="18"/>
    </row>
  </sheetData>
  <mergeCells count="24">
    <mergeCell ref="A1:F1"/>
    <mergeCell ref="A2:F2"/>
    <mergeCell ref="B4:F4"/>
    <mergeCell ref="C5:F5"/>
    <mergeCell ref="C6:F6"/>
    <mergeCell ref="C7:F7"/>
    <mergeCell ref="C8:F8"/>
    <mergeCell ref="B9:F9"/>
    <mergeCell ref="C10:F10"/>
    <mergeCell ref="C11:F11"/>
    <mergeCell ref="C12:F12"/>
    <mergeCell ref="B13:F13"/>
    <mergeCell ref="C14:F14"/>
    <mergeCell ref="C15:F15"/>
    <mergeCell ref="C16:F16"/>
    <mergeCell ref="C17:F17"/>
    <mergeCell ref="C18:F18"/>
    <mergeCell ref="B19:F19"/>
    <mergeCell ref="C20:F20"/>
    <mergeCell ref="C21:F21"/>
    <mergeCell ref="B22:F22"/>
    <mergeCell ref="C23:F23"/>
    <mergeCell ref="C24:F24"/>
    <mergeCell ref="B26:F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2026-10-13T14:08:55Z</dcterms:created>
  <dc:creator>openpyxl</dc:creator>
  <dc:description/>
  <dc:language>en-US</dc:language>
  <cp:lastModifiedBy/>
  <dcterms:modified xsi:type="dcterms:W3CDTF">2026-10-13T14:08:58Z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